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opy of data 1" sheetId="2" r:id="rId5"/>
    <sheet state="visible" name="Copy of data" sheetId="3" r:id="rId6"/>
    <sheet state="visible" name="Copy of Copy of data" sheetId="4" r:id="rId7"/>
    <sheet state="visible" name="Victory" sheetId="5" r:id="rId8"/>
    <sheet state="visible" name="Sheet28" sheetId="6" r:id="rId9"/>
    <sheet state="visible" name="Sheet27" sheetId="7" r:id="rId10"/>
  </sheets>
  <definedNames/>
  <calcPr/>
  <extLst>
    <ext uri="GoogleSheetsCustomDataVersion2">
      <go:sheetsCustomData xmlns:go="http://customooxmlschemas.google.com/" r:id="rId11" roundtripDataChecksum="1odbN/ga9vhgFQ3GKEU8ZVr+RZSqUXVNs58uJjsu9Q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ID#AAAB-3g6ljY
tc={2956ed52-8265-4e2f-8bc9-81ec49906875}    (2026-07-14 02:48:14)
[Threaded comment]
 Your version of Excel allows you to read this threaded comment; however, any edits to it will get removed if the file is opened in a newer version of Excel. Learn more: https://go.microsoft.com/fwlink/?linkid=870924
Comment:
	Previous result support</t>
      </text>
    </comment>
    <comment authorId="0" ref="B17">
      <text>
        <t xml:space="preserve">======
ID#AAAB-3g6ljU
tc={9fc64a97-2501-43fa-aae7-9946e467aaf2}    (2026-07-14 02:48:14)
[Threaded comment]
 Your version of Excel allows you to read this threaded comment; however, any edits to it will get removed if the file is opened in a newer version of Excel. Learn more: https://go.microsoft.com/fwlink/?linkid=870924
Comment:
	previous result last 2 digit</t>
      </text>
    </comment>
    <comment authorId="0" ref="A18">
      <text>
        <t xml:space="preserve">======
ID#AAAB-3g6ljc
tc={7ce808c6-34a6-4b71-b57c-3ae5c807e039}    (2026-07-14 02:48:14)
[Threaded comment]
 Your version of Excel allows you to read this threaded comment; however, any edits to it will get removed if the file is opened in a newer version of Excel. Learn more: https://go.microsoft.com/fwlink/?linkid=870924
Comment:
	Previous to previous result support</t>
      </text>
    </comment>
  </commentList>
  <extLst>
    <ext uri="GoogleSheetsCustomDataVersion2">
      <go:sheetsCustomData xmlns:go="http://customooxmlschemas.google.com/" r:id="rId1" roundtripDataSignature="AMtx7mhWcbCGJLiP4GeSVXGl8GLQ7jo6tg=="/>
    </ext>
  </extLst>
</comments>
</file>

<file path=xl/sharedStrings.xml><?xml version="1.0" encoding="utf-8"?>
<sst xmlns="http://schemas.openxmlformats.org/spreadsheetml/2006/main" count="386" uniqueCount="163">
  <si>
    <t xml:space="preserve">Total  </t>
  </si>
  <si>
    <t>F</t>
  </si>
  <si>
    <t>S</t>
  </si>
  <si>
    <t>L</t>
  </si>
  <si>
    <t>KARUNYA PLUS - sometime matches the result, otherwise take values from here and down
think about add 3 and divide 3 last two digits</t>
  </si>
  <si>
    <t>PICK</t>
  </si>
  <si>
    <t>sometime +1, -1 on first and last digit, +2, -2 on two digits</t>
  </si>
  <si>
    <t>if values is 0 consider as 9</t>
  </si>
  <si>
    <t>ADD HERE LAST 3 DIGITS FORWARD OR REVERSE</t>
  </si>
  <si>
    <t>8 become 5</t>
  </si>
  <si>
    <t>AB/AC</t>
  </si>
  <si>
    <t>Result</t>
  </si>
  <si>
    <t xml:space="preserve"> </t>
  </si>
  <si>
    <t>0  become 9</t>
  </si>
  <si>
    <t xml:space="preserve">reference </t>
  </si>
  <si>
    <t xml:space="preserve">result </t>
  </si>
  <si>
    <t>Matches exactly, sometime middle in the other places</t>
  </si>
  <si>
    <t>BC/AB/AC</t>
  </si>
  <si>
    <t>SD</t>
  </si>
  <si>
    <t>FD</t>
  </si>
  <si>
    <t>check this for last digit - winwin / FF first digit</t>
  </si>
  <si>
    <t>PATH</t>
  </si>
  <si>
    <t>check this option for middle digit</t>
  </si>
  <si>
    <t>1. prevous result last 2 digit, support digit</t>
  </si>
  <si>
    <t>Pefect match - just replace 20 as 00 is</t>
  </si>
  <si>
    <t>1. prevous result last 2 digit, A17, A18</t>
  </si>
  <si>
    <t>AC</t>
  </si>
  <si>
    <t>214 become 294</t>
  </si>
  <si>
    <t>somthing to check</t>
  </si>
  <si>
    <t xml:space="preserve">BT check </t>
  </si>
  <si>
    <t>check this color for first digit or last digit</t>
  </si>
  <si>
    <r>
      <rPr>
        <rFont val="Calibri"/>
        <b/>
        <color theme="1"/>
        <sz val="12.0"/>
      </rPr>
      <t xml:space="preserve">sometime reverse, -1 added as 1 with all numbers - KN PLUS - first two digit match 
Sometime, </t>
    </r>
    <r>
      <rPr>
        <rFont val="Calibri"/>
        <b/>
        <color rgb="FFFF0000"/>
        <sz val="12.0"/>
      </rPr>
      <t>Middle digit matches</t>
    </r>
  </si>
  <si>
    <r>
      <rPr>
        <rFont val="Calibri"/>
        <b/>
        <color theme="1"/>
        <sz val="12.0"/>
      </rPr>
      <t xml:space="preserve">sometime reverse, -1 added as 1 with all numbers - KN PLUS - first two digit match 
Sometime, </t>
    </r>
    <r>
      <rPr>
        <rFont val="Calibri"/>
        <b/>
        <color rgb="FFFF0000"/>
        <sz val="12.0"/>
      </rPr>
      <t>Middle digit matches</t>
    </r>
  </si>
  <si>
    <t>A</t>
  </si>
  <si>
    <r>
      <rPr>
        <rFont val="Calibri"/>
        <b/>
        <color theme="1"/>
        <sz val="12.0"/>
      </rPr>
      <t xml:space="preserve">sometime reverse, -1 added as 1 with all numbers - KN PLUS - first two digit match 
Sometime, </t>
    </r>
    <r>
      <rPr>
        <rFont val="Calibri"/>
        <b/>
        <color rgb="FFFF0000"/>
        <sz val="12.0"/>
      </rPr>
      <t>Middle digit matches</t>
    </r>
  </si>
  <si>
    <t>become 002 - also matches first and last digit</t>
  </si>
  <si>
    <t>- 1 or +1 or 1, 2 or 2, 1 or 2, 3 or 3,2 on these digits, 1, 3</t>
  </si>
  <si>
    <t>Sometime matches AS IS - firstime</t>
  </si>
  <si>
    <t>BC</t>
  </si>
  <si>
    <t>SK - 226  - multiply by 3, 2, divide by 2,3</t>
  </si>
  <si>
    <t>CONTINUATION (BC OR AC)</t>
  </si>
  <si>
    <t>Check this - drop 1 from first /last</t>
  </si>
  <si>
    <t>343, 041 = 400 (433-033)</t>
  </si>
  <si>
    <t>+,-,-</t>
  </si>
  <si>
    <t>BACKWARD - THINK ABOUT - VALUE</t>
  </si>
  <si>
    <t>backward - THINK ABOUT - VALUE</t>
  </si>
  <si>
    <r>
      <rPr>
        <rFont val="Calibri"/>
        <b/>
        <color theme="1"/>
        <sz val="12.0"/>
      </rPr>
      <t xml:space="preserve">sometime reverse, -1 added as 1 with all numbers - KN PLUS - first two digit match 
Sometime, </t>
    </r>
    <r>
      <rPr>
        <rFont val="Calibri"/>
        <b/>
        <color rgb="FFFF0000"/>
        <sz val="12.0"/>
      </rPr>
      <t>Middle digit matches</t>
    </r>
  </si>
  <si>
    <t>USE TRICK TO SWAP NUMBERS</t>
  </si>
  <si>
    <t>024 become 922</t>
  </si>
  <si>
    <t>AB - MATCH</t>
  </si>
  <si>
    <t>04</t>
  </si>
  <si>
    <t>Total+F, Total+E</t>
  </si>
  <si>
    <t>Total-F, Total+E</t>
  </si>
  <si>
    <t>Total-F, Total-E</t>
  </si>
  <si>
    <t>Reverse (995 for 048)</t>
  </si>
  <si>
    <t>sum</t>
  </si>
  <si>
    <t>first two digits matches or incremnt by 1 for fist 2 digits</t>
  </si>
  <si>
    <t>ave</t>
  </si>
  <si>
    <t>minus</t>
  </si>
  <si>
    <t>last digit matches</t>
  </si>
  <si>
    <t>support number</t>
  </si>
  <si>
    <t>rev.minus</t>
  </si>
  <si>
    <t>not c oming</t>
  </si>
  <si>
    <t>C</t>
  </si>
  <si>
    <t>AB</t>
  </si>
  <si>
    <t>7 become 5 and 0 become 9</t>
  </si>
  <si>
    <t>check below.. option</t>
  </si>
  <si>
    <t>145 from here</t>
  </si>
  <si>
    <t>got results</t>
  </si>
  <si>
    <t>816 results</t>
  </si>
  <si>
    <t>support 1</t>
  </si>
  <si>
    <t>support 2</t>
  </si>
  <si>
    <t xml:space="preserve">last 3 digit match result </t>
  </si>
  <si>
    <t>bc</t>
  </si>
  <si>
    <t>b83, c83 match AB and multiply take last digit</t>
  </si>
  <si>
    <t>*,,,,,+</t>
  </si>
  <si>
    <t>no change for this</t>
  </si>
  <si>
    <t>Process</t>
  </si>
  <si>
    <t>Middle</t>
  </si>
  <si>
    <t>sum the digits</t>
  </si>
  <si>
    <t>1. last result and current result in the D-F</t>
  </si>
  <si>
    <t>new number</t>
  </si>
  <si>
    <t>011 become 911</t>
  </si>
  <si>
    <t>2. add current values to the last result and check</t>
  </si>
  <si>
    <t>867 become 857</t>
  </si>
  <si>
    <t>3. repeat the same for Last two result diff</t>
  </si>
  <si>
    <t>avg</t>
  </si>
  <si>
    <t>max</t>
  </si>
  <si>
    <t>B</t>
  </si>
  <si>
    <t>Last two result diff</t>
  </si>
  <si>
    <t>a</t>
  </si>
  <si>
    <t>b</t>
  </si>
  <si>
    <t>c</t>
  </si>
  <si>
    <t>Ave</t>
  </si>
  <si>
    <t>`</t>
  </si>
  <si>
    <t>Sum</t>
  </si>
  <si>
    <t>Max</t>
  </si>
  <si>
    <t>reverse 61 - 14</t>
  </si>
  <si>
    <t>Note</t>
  </si>
  <si>
    <t>6 become 0</t>
  </si>
  <si>
    <t>5 become 8 vise versa</t>
  </si>
  <si>
    <t>9 become 0 vise versa</t>
  </si>
  <si>
    <t/>
  </si>
  <si>
    <t>0</t>
  </si>
  <si>
    <t>Do Reverse and apply logic</t>
  </si>
  <si>
    <t>Mon</t>
  </si>
  <si>
    <t>Tue</t>
  </si>
  <si>
    <t>Wed</t>
  </si>
  <si>
    <t>Thu</t>
  </si>
  <si>
    <t>Fri</t>
  </si>
  <si>
    <t>Sat</t>
  </si>
  <si>
    <t>Sun</t>
  </si>
  <si>
    <t>Victory Ref</t>
  </si>
  <si>
    <t>Odd</t>
  </si>
  <si>
    <t>Even</t>
  </si>
  <si>
    <t>RS- 30</t>
  </si>
  <si>
    <t>KL</t>
  </si>
  <si>
    <t>9 or 0</t>
  </si>
  <si>
    <t>A/C</t>
  </si>
  <si>
    <t>C/A</t>
  </si>
  <si>
    <t>target</t>
  </si>
  <si>
    <t>plus-firstand last</t>
  </si>
  <si>
    <t>Sometime, C, B interchange</t>
  </si>
  <si>
    <t>last 3 digits in green and first 3 digits</t>
  </si>
  <si>
    <t>Mul</t>
  </si>
  <si>
    <t>4421</t>
  </si>
  <si>
    <t>wed</t>
  </si>
  <si>
    <t>ab</t>
  </si>
  <si>
    <t>ac</t>
  </si>
  <si>
    <t>thu</t>
  </si>
  <si>
    <t>4</t>
  </si>
  <si>
    <t>I</t>
  </si>
  <si>
    <t>2</t>
  </si>
  <si>
    <t>1</t>
  </si>
  <si>
    <t>thu-5</t>
  </si>
  <si>
    <t>fri</t>
  </si>
  <si>
    <t>KL full left result - Match first 2 digit</t>
  </si>
  <si>
    <t>C/B</t>
  </si>
  <si>
    <t>become 607</t>
  </si>
  <si>
    <t>mon</t>
  </si>
  <si>
    <t>AB/C</t>
  </si>
  <si>
    <t>tue</t>
  </si>
  <si>
    <t>check for last(with mapping)</t>
  </si>
  <si>
    <t>level3</t>
  </si>
  <si>
    <t>check for middle</t>
  </si>
  <si>
    <t>level -0</t>
  </si>
  <si>
    <t>level 1</t>
  </si>
  <si>
    <t>level 2</t>
  </si>
  <si>
    <t>level 3</t>
  </si>
  <si>
    <t>level1</t>
  </si>
  <si>
    <t>level2</t>
  </si>
  <si>
    <t>Path</t>
  </si>
  <si>
    <t>AlLboard</t>
  </si>
  <si>
    <t>AC / AB(reverse)</t>
  </si>
  <si>
    <t>Prev-Pre Result</t>
  </si>
  <si>
    <t>digit from pending</t>
  </si>
  <si>
    <t>Prev-Result</t>
  </si>
  <si>
    <t xml:space="preserve"> +/- 1 on last or first or middle digit</t>
  </si>
  <si>
    <t>Last two digits</t>
  </si>
  <si>
    <t>Continuation</t>
  </si>
  <si>
    <t>AC or ABC</t>
  </si>
  <si>
    <t>ab result</t>
  </si>
  <si>
    <t>AC/AB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</si>
</sst>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, m"/>
    <numFmt numFmtId="165" formatCode="d/m"/>
    <numFmt numFmtId="166" formatCode="hh:mm"/>
  </numFmts>
  <fonts count="76">
    <font>
      <sz val="12.0"/>
      <color theme="1"/>
      <name val="Calibri"/>
      <scheme val="minor"/>
    </font>
    <font>
      <color theme="1"/>
      <name val="Calibri"/>
    </font>
    <font>
      <b/>
      <sz val="12.0"/>
      <color theme="1"/>
      <name val="Calibri"/>
    </font>
    <font>
      <b/>
      <sz val="12.0"/>
      <color rgb="FF00FF00"/>
      <name val="Calibri"/>
    </font>
    <font>
      <b/>
      <sz val="12.0"/>
      <color rgb="FFFF9900"/>
      <name val="Calibri"/>
    </font>
    <font>
      <b/>
      <color rgb="FF00FF00"/>
      <name val="Calibri"/>
    </font>
    <font>
      <color rgb="FFFF00FF"/>
      <name val="Calibri"/>
    </font>
    <font>
      <color rgb="FFFF0000"/>
      <name val="Calibri"/>
    </font>
    <font>
      <b/>
      <color theme="1"/>
      <name val="Calibri"/>
    </font>
    <font>
      <sz val="11.0"/>
      <color theme="1"/>
      <name val="Calibri"/>
    </font>
    <font>
      <b/>
      <sz val="9.0"/>
      <color rgb="FFFF9900"/>
      <name val="Google Sans"/>
    </font>
    <font>
      <color rgb="FF00FF00"/>
      <name val="Calibri"/>
    </font>
    <font>
      <u/>
      <sz val="12.0"/>
      <color theme="10"/>
      <name val="Calibri"/>
    </font>
    <font>
      <u/>
      <sz val="12.0"/>
      <color rgb="FFFF00FF"/>
      <name val="Calibri"/>
    </font>
    <font>
      <sz val="14.0"/>
      <color rgb="FF444444"/>
      <name val="Arial"/>
    </font>
    <font>
      <b/>
      <u/>
      <sz val="12.0"/>
      <color rgb="FF1155CC"/>
      <name val="Calibri"/>
    </font>
    <font>
      <b/>
      <color rgb="FF1155CC"/>
      <name val="Calibri"/>
    </font>
    <font>
      <color rgb="FF000000"/>
      <name val="Calibri"/>
    </font>
    <font>
      <u/>
      <sz val="12.0"/>
      <color rgb="FFFFFF00"/>
      <name val="Calibri"/>
    </font>
    <font>
      <color rgb="FFFFFF00"/>
      <name val="Calibri"/>
    </font>
    <font>
      <color rgb="FF0000FF"/>
      <name val="Calibri"/>
    </font>
    <font>
      <b/>
      <sz val="12.0"/>
      <color rgb="FFFF00FF"/>
      <name val="Calibri"/>
    </font>
    <font>
      <b/>
      <sz val="9.0"/>
      <color rgb="FF00FF00"/>
      <name val="Google Sans"/>
    </font>
    <font>
      <b/>
      <sz val="12.0"/>
      <color rgb="FF0000FF"/>
      <name val="Calibri"/>
    </font>
    <font>
      <color rgb="FFFFD966"/>
      <name val="Calibri"/>
    </font>
    <font>
      <b/>
      <sz val="9.0"/>
      <color rgb="FF0000FF"/>
      <name val="Google Sans"/>
    </font>
    <font>
      <b/>
      <sz val="12.0"/>
      <color rgb="FF000000"/>
      <name val="Calibri"/>
    </font>
    <font>
      <color rgb="FFF0F0F0"/>
      <name val="Calibri"/>
    </font>
    <font>
      <u/>
      <sz val="12.0"/>
      <color rgb="FF00FF00"/>
      <name val="Calibri"/>
    </font>
    <font>
      <color rgb="FFFFF2CC"/>
      <name val="Calibri"/>
    </font>
    <font>
      <b/>
      <sz val="12.0"/>
      <color rgb="FFFFF2CC"/>
      <name val="Calibri"/>
    </font>
    <font>
      <u/>
      <sz val="12.0"/>
      <color rgb="FFFF0000"/>
      <name val="Calibri"/>
    </font>
    <font>
      <u/>
      <sz val="12.0"/>
      <color rgb="FF00FF00"/>
      <name val="Calibri"/>
    </font>
    <font>
      <u/>
      <sz val="12.0"/>
      <color rgb="FFCC4125"/>
      <name val="Calibri"/>
    </font>
    <font>
      <color rgb="FFCC4125"/>
      <name val="Calibri"/>
    </font>
    <font>
      <color theme="9"/>
      <name val="Calibri"/>
    </font>
    <font>
      <b/>
      <sz val="12.0"/>
      <color theme="9"/>
      <name val="Calibri"/>
    </font>
    <font>
      <b/>
      <sz val="12.0"/>
      <color theme="8"/>
      <name val="Calibri"/>
    </font>
    <font>
      <u/>
      <sz val="12.0"/>
      <color rgb="FF00FF00"/>
      <name val="Calibri"/>
    </font>
    <font>
      <u/>
      <sz val="12.0"/>
      <color rgb="FF9900FF"/>
      <name val="Calibri"/>
    </font>
    <font>
      <color rgb="FF9900FF"/>
      <name val="Calibri"/>
    </font>
    <font>
      <u/>
      <sz val="12.0"/>
      <color rgb="FFFFE599"/>
      <name val="Calibri"/>
    </font>
    <font>
      <color rgb="FFFFE599"/>
      <name val="Calibri"/>
    </font>
    <font>
      <u/>
      <sz val="12.0"/>
      <color rgb="FFFFE599"/>
      <name val="Calibri"/>
    </font>
    <font>
      <b/>
      <sz val="12.0"/>
      <color rgb="FF9900FF"/>
      <name val="Calibri"/>
    </font>
    <font>
      <u/>
      <sz val="12.0"/>
      <color rgb="FF76A5AF"/>
      <name val="Calibri"/>
    </font>
    <font>
      <color rgb="FF76A5AF"/>
      <name val="Calibri"/>
    </font>
    <font>
      <b/>
      <color rgb="FF000000"/>
      <name val="Calibri"/>
    </font>
    <font>
      <b/>
      <sz val="12.0"/>
      <color rgb="FFFF0000"/>
      <name val="Calibri"/>
    </font>
    <font>
      <u/>
      <sz val="12.0"/>
      <color theme="10"/>
      <name val="Calibri"/>
    </font>
    <font>
      <u/>
      <sz val="12.0"/>
      <color rgb="FFC9DAF8"/>
      <name val="Calibri"/>
    </font>
    <font>
      <color rgb="FFC9DAF8"/>
      <name val="Calibri"/>
    </font>
    <font>
      <u/>
      <sz val="12.0"/>
      <color rgb="FF00FF00"/>
      <name val="Calibri"/>
    </font>
    <font>
      <sz val="12.0"/>
      <color rgb="FF0000FF"/>
      <name val="Calibri"/>
    </font>
    <font>
      <u/>
      <sz val="12.0"/>
      <color rgb="FF00FF00"/>
      <name val="Calibri"/>
    </font>
    <font>
      <sz val="12.0"/>
      <color theme="1"/>
      <name val="Calibri"/>
    </font>
    <font>
      <u/>
      <sz val="12.0"/>
      <color rgb="FF9900FF"/>
      <name val="Calibri"/>
    </font>
    <font>
      <u/>
      <sz val="12.0"/>
      <color rgb="FF9900FF"/>
      <name val="Calibri"/>
    </font>
    <font>
      <u/>
      <sz val="12.0"/>
      <color rgb="FF9900FF"/>
      <name val="Calibri"/>
    </font>
    <font>
      <u/>
      <sz val="12.0"/>
      <color rgb="FFFF0000"/>
      <name val="Calibri"/>
    </font>
    <font>
      <u/>
      <sz val="12.0"/>
      <color rgb="FF9900FF"/>
      <name val="Calibri"/>
    </font>
    <font>
      <u/>
      <sz val="12.0"/>
      <color rgb="FF000000"/>
      <name val="Calibri"/>
    </font>
    <font>
      <sz val="12.0"/>
      <color rgb="FFFF0000"/>
      <name val="Calibri"/>
    </font>
    <font>
      <sz val="12.0"/>
      <color rgb="FFCC0000"/>
      <name val="Calibri"/>
    </font>
    <font>
      <color rgb="FFCC0000"/>
      <name val="Calibri"/>
    </font>
    <font>
      <sz val="12.0"/>
      <color rgb="FF000000"/>
      <name val="Calibri"/>
    </font>
    <font>
      <sz val="12.0"/>
      <color rgb="FF00FF00"/>
      <name val="Calibri"/>
    </font>
    <font>
      <b/>
      <sz val="9.0"/>
      <color rgb="FFCC0000"/>
      <name val="Google Sans"/>
    </font>
    <font>
      <b/>
      <color rgb="FFCC0000"/>
      <name val="Calibri"/>
    </font>
    <font>
      <color theme="1"/>
      <name val="Calibri"/>
      <scheme val="minor"/>
    </font>
    <font>
      <sz val="9.0"/>
      <color theme="1"/>
      <name val="Google Sans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b/>
      <color rgb="FF4A86E8"/>
      <name val="Calibri"/>
    </font>
    <font>
      <b/>
      <color rgb="FFFF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0F0F0"/>
        <bgColor rgb="FFF0F0F0"/>
      </patternFill>
    </fill>
    <fill>
      <patternFill patternType="solid">
        <fgColor rgb="FF76A5AF"/>
        <bgColor rgb="FF76A5A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1155CC"/>
        <bgColor rgb="FF1155CC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wrapText="1"/>
    </xf>
    <xf borderId="0" fillId="3" fontId="4" numFmtId="0" xfId="0" applyAlignment="1" applyFill="1" applyFont="1">
      <alignment horizontal="center" shrinkToFit="0" wrapText="1"/>
    </xf>
    <xf borderId="0" fillId="4" fontId="5" numFmtId="0" xfId="0" applyAlignment="1" applyFill="1" applyFont="1">
      <alignment horizontal="center"/>
    </xf>
    <xf borderId="0" fillId="3" fontId="5" numFmtId="0" xfId="0" applyAlignment="1" applyFill="1" applyFont="1">
      <alignment horizontal="center" shrinkToFit="0" wrapText="1"/>
    </xf>
    <xf borderId="0" fillId="3" fontId="5" numFmtId="0" xfId="0" applyAlignment="1" applyFill="1" applyFont="1">
      <alignment horizontal="center"/>
    </xf>
    <xf borderId="0" fillId="3" fontId="6" numFmtId="0" xfId="0" applyAlignment="1" applyFill="1" applyFont="1">
      <alignment horizontal="center"/>
    </xf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right" vertical="bottom"/>
    </xf>
    <xf borderId="0" fillId="3" fontId="10" numFmtId="0" xfId="0" applyAlignment="1" applyFill="1" applyFont="1">
      <alignment horizontal="center"/>
    </xf>
    <xf borderId="0" fillId="5" fontId="11" numFmtId="0" xfId="0" applyAlignment="1" applyFill="1" applyFont="1">
      <alignment horizontal="center"/>
    </xf>
    <xf borderId="0" fillId="5" fontId="11" numFmtId="0" xfId="0" applyAlignment="1" applyFill="1" applyFont="1">
      <alignment horizontal="center" shrinkToFit="0" wrapText="1"/>
    </xf>
    <xf borderId="0" fillId="0" fontId="12" numFmtId="0" xfId="0" applyFont="1"/>
    <xf borderId="0" fillId="3" fontId="13" numFmtId="0" xfId="0" applyAlignment="1" applyFill="1" applyFont="1">
      <alignment horizontal="center"/>
    </xf>
    <xf borderId="0" fillId="6" fontId="14" numFmtId="0" xfId="0" applyAlignment="1" applyFill="1" applyFont="1">
      <alignment horizontal="left"/>
    </xf>
    <xf borderId="0" fillId="7" fontId="1" numFmtId="0" xfId="0" applyAlignment="1" applyFill="1" applyFont="1">
      <alignment horizontal="center"/>
    </xf>
    <xf borderId="0" fillId="7" fontId="2" numFmtId="0" xfId="0" applyAlignment="1" applyFill="1" applyFont="1">
      <alignment horizontal="center" shrinkToFit="0" wrapText="1"/>
    </xf>
    <xf borderId="0" fillId="8" fontId="1" numFmtId="0" xfId="0" applyFill="1" applyFont="1"/>
    <xf borderId="0" fillId="0" fontId="2" numFmtId="0" xfId="0" applyAlignment="1" applyFont="1">
      <alignment horizontal="right" shrinkToFit="0" wrapText="1"/>
    </xf>
    <xf borderId="0" fillId="3" fontId="11" numFmtId="0" xfId="0" applyAlignment="1" applyFill="1" applyFont="1">
      <alignment horizontal="center"/>
    </xf>
    <xf borderId="0" fillId="3" fontId="11" numFmtId="0" xfId="0" applyAlignment="1" applyFill="1" applyFont="1">
      <alignment horizontal="center" shrinkToFit="0" wrapText="1"/>
    </xf>
    <xf borderId="0" fillId="9" fontId="15" numFmtId="0" xfId="0" applyAlignment="1" applyFill="1" applyFont="1">
      <alignment horizontal="center"/>
    </xf>
    <xf borderId="0" fillId="9" fontId="16" numFmtId="0" xfId="0" applyAlignment="1" applyFill="1" applyFont="1">
      <alignment horizontal="center"/>
    </xf>
    <xf borderId="0" fillId="10" fontId="2" numFmtId="0" xfId="0" applyAlignment="1" applyFill="1" applyFont="1">
      <alignment shrinkToFit="0" wrapText="1"/>
    </xf>
    <xf borderId="0" fillId="11" fontId="2" numFmtId="0" xfId="0" applyAlignment="1" applyFill="1" applyFont="1">
      <alignment shrinkToFit="0" wrapText="1"/>
    </xf>
    <xf borderId="0" fillId="8" fontId="1" numFmtId="0" xfId="0" applyAlignment="1" applyFill="1" applyFont="1">
      <alignment horizontal="center"/>
    </xf>
    <xf borderId="0" fillId="5" fontId="3" numFmtId="0" xfId="0" applyAlignment="1" applyFill="1" applyFont="1">
      <alignment horizontal="center" shrinkToFit="0" wrapText="1"/>
    </xf>
    <xf borderId="0" fillId="8" fontId="17" numFmtId="0" xfId="0" applyAlignment="1" applyFill="1" applyFont="1">
      <alignment horizontal="center"/>
    </xf>
    <xf borderId="0" fillId="8" fontId="17" numFmtId="0" xfId="0" applyAlignment="1" applyFill="1" applyFont="1">
      <alignment horizontal="center" shrinkToFit="0" wrapText="1"/>
    </xf>
    <xf borderId="0" fillId="3" fontId="18" numFmtId="0" xfId="0" applyAlignment="1" applyFill="1" applyFont="1">
      <alignment horizontal="center"/>
    </xf>
    <xf borderId="0" fillId="3" fontId="19" numFmtId="0" xfId="0" applyAlignment="1" applyFill="1" applyFont="1">
      <alignment horizontal="center"/>
    </xf>
    <xf borderId="0" fillId="12" fontId="3" numFmtId="0" xfId="0" applyAlignment="1" applyFill="1" applyFont="1">
      <alignment horizontal="center" shrinkToFit="0" wrapText="1"/>
    </xf>
    <xf borderId="0" fillId="3" fontId="20" numFmtId="0" xfId="0" applyAlignment="1" applyFill="1" applyFont="1">
      <alignment horizontal="center"/>
    </xf>
    <xf borderId="0" fillId="3" fontId="20" numFmtId="0" xfId="0" applyAlignment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3" fontId="21" numFmtId="0" xfId="0" applyAlignment="1" applyFill="1" applyFont="1">
      <alignment horizontal="center" shrinkToFit="0" wrapText="1"/>
    </xf>
    <xf borderId="0" fillId="13" fontId="1" numFmtId="0" xfId="0" applyAlignment="1" applyFill="1" applyFont="1">
      <alignment horizontal="center"/>
    </xf>
    <xf borderId="0" fillId="13" fontId="2" numFmtId="0" xfId="0" applyAlignment="1" applyFill="1" applyFont="1">
      <alignment horizontal="center"/>
    </xf>
    <xf borderId="0" fillId="13" fontId="2" numFmtId="0" xfId="0" applyAlignment="1" applyFill="1" applyFont="1">
      <alignment horizontal="center" shrinkToFit="0" wrapText="1"/>
    </xf>
    <xf borderId="0" fillId="14" fontId="2" numFmtId="0" xfId="0" applyAlignment="1" applyFill="1" applyFont="1">
      <alignment horizontal="center" shrinkToFit="0" wrapText="1"/>
    </xf>
    <xf borderId="0" fillId="15" fontId="2" numFmtId="0" xfId="0" applyAlignment="1" applyFill="1" applyFont="1">
      <alignment shrinkToFit="0" wrapText="1"/>
    </xf>
    <xf borderId="0" fillId="15" fontId="22" numFmtId="0" xfId="0" applyAlignment="1" applyFill="1" applyFont="1">
      <alignment horizontal="center"/>
    </xf>
    <xf borderId="0" fillId="16" fontId="22" numFmtId="0" xfId="0" applyAlignment="1" applyFill="1" applyFont="1">
      <alignment horizontal="center"/>
    </xf>
    <xf borderId="0" fillId="15" fontId="3" numFmtId="0" xfId="0" applyAlignment="1" applyFill="1" applyFont="1">
      <alignment horizontal="center" shrinkToFit="0" wrapText="1"/>
    </xf>
    <xf borderId="0" fillId="16" fontId="3" numFmtId="0" xfId="0" applyAlignment="1" applyFill="1" applyFont="1">
      <alignment horizontal="center" shrinkToFit="0" wrapText="1"/>
    </xf>
    <xf borderId="0" fillId="15" fontId="23" numFmtId="0" xfId="0" applyAlignment="1" applyFill="1" applyFont="1">
      <alignment horizontal="center" shrinkToFit="0" wrapText="1"/>
    </xf>
    <xf borderId="0" fillId="16" fontId="23" numFmtId="0" xfId="0" applyAlignment="1" applyFill="1" applyFont="1">
      <alignment horizontal="center" shrinkToFit="0" wrapText="1"/>
    </xf>
    <xf borderId="0" fillId="3" fontId="24" numFmtId="0" xfId="0" applyAlignment="1" applyFill="1" applyFont="1">
      <alignment horizontal="center"/>
    </xf>
    <xf borderId="0" fillId="3" fontId="24" numFmtId="0" xfId="0" applyAlignment="1" applyFill="1" applyFont="1">
      <alignment horizontal="center" shrinkToFit="0" wrapText="1"/>
    </xf>
    <xf borderId="0" fillId="14" fontId="1" numFmtId="0" xfId="0" applyAlignment="1" applyFill="1" applyFont="1">
      <alignment horizontal="center"/>
    </xf>
    <xf borderId="0" fillId="15" fontId="25" numFmtId="0" xfId="0" applyAlignment="1" applyFill="1" applyFont="1">
      <alignment horizontal="center"/>
    </xf>
    <xf borderId="0" fillId="3" fontId="7" numFmtId="0" xfId="0" applyAlignment="1" applyFill="1" applyFont="1">
      <alignment horizontal="center"/>
    </xf>
    <xf borderId="0" fillId="5" fontId="1" numFmtId="0" xfId="0" applyFill="1" applyFont="1"/>
    <xf borderId="0" fillId="0" fontId="8" numFmtId="0" xfId="0" applyAlignment="1" applyFont="1">
      <alignment horizontal="left"/>
    </xf>
    <xf borderId="0" fillId="5" fontId="26" numFmtId="0" xfId="0" applyAlignment="1" applyFill="1" applyFont="1">
      <alignment horizontal="center" shrinkToFit="0" wrapText="1"/>
    </xf>
    <xf borderId="0" fillId="15" fontId="26" numFmtId="0" xfId="0" applyAlignment="1" applyFill="1" applyFont="1">
      <alignment horizontal="center" shrinkToFit="0" wrapText="1"/>
    </xf>
    <xf borderId="0" fillId="3" fontId="27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3" fontId="28" numFmtId="0" xfId="0" applyAlignment="1" applyFill="1" applyFont="1">
      <alignment horizontal="center"/>
    </xf>
    <xf borderId="0" fillId="9" fontId="29" numFmtId="0" xfId="0" applyAlignment="1" applyFill="1" applyFont="1">
      <alignment horizontal="center"/>
    </xf>
    <xf borderId="0" fillId="17" fontId="29" numFmtId="0" xfId="0" applyAlignment="1" applyFill="1" applyFont="1">
      <alignment horizontal="center"/>
    </xf>
    <xf borderId="0" fillId="18" fontId="30" numFmtId="0" xfId="0" applyAlignment="1" applyFill="1" applyFont="1">
      <alignment horizontal="center" shrinkToFit="0" wrapText="1"/>
    </xf>
    <xf borderId="0" fillId="19" fontId="22" numFmtId="0" xfId="0" applyAlignment="1" applyFill="1" applyFont="1">
      <alignment horizontal="center"/>
    </xf>
    <xf borderId="0" fillId="19" fontId="25" numFmtId="0" xfId="0" applyAlignment="1" applyFill="1" applyFont="1">
      <alignment horizontal="center"/>
    </xf>
    <xf borderId="0" fillId="20" fontId="17" numFmtId="0" xfId="0" applyAlignment="1" applyFill="1" applyFont="1">
      <alignment horizontal="center"/>
    </xf>
    <xf borderId="0" fillId="20" fontId="17" numFmtId="0" xfId="0" applyAlignment="1" applyFill="1" applyFont="1">
      <alignment horizontal="center" shrinkToFit="0" wrapText="1"/>
    </xf>
    <xf borderId="0" fillId="3" fontId="31" numFmtId="0" xfId="0" applyAlignment="1" applyFill="1" applyFont="1">
      <alignment horizontal="center"/>
    </xf>
    <xf borderId="0" fillId="15" fontId="30" numFmtId="0" xfId="0" applyAlignment="1" applyFill="1" applyFont="1">
      <alignment horizontal="center" shrinkToFit="0" wrapText="1"/>
    </xf>
    <xf borderId="0" fillId="3" fontId="22" numFmtId="0" xfId="0" applyAlignment="1" applyFill="1" applyFont="1">
      <alignment horizontal="center"/>
    </xf>
    <xf borderId="0" fillId="5" fontId="29" numFmtId="0" xfId="0" applyAlignment="1" applyFill="1" applyFont="1">
      <alignment horizontal="center"/>
    </xf>
    <xf borderId="0" fillId="17" fontId="3" numFmtId="0" xfId="0" applyAlignment="1" applyFill="1" applyFont="1">
      <alignment horizontal="center" shrinkToFit="0" wrapText="1"/>
    </xf>
    <xf borderId="0" fillId="9" fontId="11" numFmtId="0" xfId="0" applyAlignment="1" applyFill="1" applyFont="1">
      <alignment horizontal="center"/>
    </xf>
    <xf borderId="0" fillId="18" fontId="3" numFmtId="0" xfId="0" applyAlignment="1" applyFill="1" applyFont="1">
      <alignment horizontal="center" shrinkToFit="0" wrapText="1"/>
    </xf>
    <xf borderId="0" fillId="5" fontId="30" numFmtId="0" xfId="0" applyAlignment="1" applyFill="1" applyFont="1">
      <alignment horizontal="center" shrinkToFit="0" wrapText="1"/>
    </xf>
    <xf borderId="0" fillId="21" fontId="30" numFmtId="0" xfId="0" applyAlignment="1" applyFill="1" applyFont="1">
      <alignment horizontal="center" shrinkToFit="0" wrapText="1"/>
    </xf>
    <xf borderId="0" fillId="8" fontId="26" numFmtId="0" xfId="0" applyAlignment="1" applyFill="1" applyFont="1">
      <alignment horizontal="center" shrinkToFit="0" wrapText="1"/>
    </xf>
    <xf borderId="0" fillId="18" fontId="11" numFmtId="0" xfId="0" applyAlignment="1" applyFill="1" applyFont="1">
      <alignment horizontal="center" shrinkToFit="0" wrapText="1"/>
    </xf>
    <xf borderId="0" fillId="16" fontId="11" numFmtId="0" xfId="0" applyAlignment="1" applyFill="1" applyFont="1">
      <alignment horizontal="center" shrinkToFit="0" wrapText="1"/>
    </xf>
    <xf borderId="0" fillId="22" fontId="2" numFmtId="0" xfId="0" applyAlignment="1" applyFill="1" applyFont="1">
      <alignment horizontal="right" shrinkToFit="0" wrapText="1"/>
    </xf>
    <xf borderId="0" fillId="17" fontId="17" numFmtId="0" xfId="0" applyAlignment="1" applyFill="1" applyFont="1">
      <alignment horizontal="center"/>
    </xf>
    <xf borderId="0" fillId="17" fontId="26" numFmtId="0" xfId="0" applyAlignment="1" applyFill="1" applyFont="1">
      <alignment horizontal="center" shrinkToFit="0" wrapText="1"/>
    </xf>
    <xf borderId="0" fillId="18" fontId="11" numFmtId="0" xfId="0" applyAlignment="1" applyFill="1" applyFont="1">
      <alignment horizontal="center"/>
    </xf>
    <xf borderId="0" fillId="15" fontId="32" numFmtId="0" xfId="0" applyFill="1" applyFont="1"/>
    <xf borderId="0" fillId="10" fontId="33" numFmtId="0" xfId="0" applyAlignment="1" applyFill="1" applyFont="1">
      <alignment horizontal="center"/>
    </xf>
    <xf borderId="0" fillId="10" fontId="34" numFmtId="0" xfId="0" applyAlignment="1" applyFill="1" applyFont="1">
      <alignment horizontal="center"/>
    </xf>
    <xf borderId="0" fillId="18" fontId="17" numFmtId="0" xfId="0" applyAlignment="1" applyFill="1" applyFont="1">
      <alignment horizontal="center"/>
    </xf>
    <xf borderId="0" fillId="23" fontId="35" numFmtId="0" xfId="0" applyAlignment="1" applyFill="1" applyFont="1">
      <alignment horizontal="center"/>
    </xf>
    <xf borderId="0" fillId="23" fontId="36" numFmtId="0" xfId="0" applyAlignment="1" applyFill="1" applyFont="1">
      <alignment horizontal="center" shrinkToFit="0" wrapText="1"/>
    </xf>
    <xf borderId="0" fillId="3" fontId="37" numFmtId="0" xfId="0" applyAlignment="1" applyFill="1" applyFont="1">
      <alignment horizontal="center" shrinkToFit="0" wrapText="1"/>
    </xf>
    <xf borderId="0" fillId="3" fontId="38" numFmtId="0" xfId="0" applyFill="1" applyFont="1"/>
    <xf borderId="0" fillId="3" fontId="39" numFmtId="0" xfId="0" applyAlignment="1" applyFill="1" applyFont="1">
      <alignment horizontal="center"/>
    </xf>
    <xf borderId="0" fillId="3" fontId="40" numFmtId="0" xfId="0" applyAlignment="1" applyFill="1" applyFont="1">
      <alignment horizontal="center"/>
    </xf>
    <xf borderId="0" fillId="0" fontId="20" numFmtId="0" xfId="0" applyAlignment="1" applyFont="1">
      <alignment horizontal="center"/>
    </xf>
    <xf borderId="0" fillId="9" fontId="20" numFmtId="0" xfId="0" applyAlignment="1" applyFill="1" applyFont="1">
      <alignment horizontal="center"/>
    </xf>
    <xf borderId="0" fillId="0" fontId="41" numFmtId="0" xfId="0" applyFont="1"/>
    <xf borderId="0" fillId="3" fontId="42" numFmtId="0" xfId="0" applyAlignment="1" applyFill="1" applyFont="1">
      <alignment horizontal="center"/>
    </xf>
    <xf borderId="0" fillId="3" fontId="43" numFmtId="0" xfId="0" applyAlignment="1" applyFill="1" applyFont="1">
      <alignment horizontal="center"/>
    </xf>
    <xf borderId="0" fillId="11" fontId="44" numFmtId="0" xfId="0" applyAlignment="1" applyFill="1" applyFont="1">
      <alignment horizontal="center" shrinkToFit="0" wrapText="1"/>
    </xf>
    <xf borderId="0" fillId="3" fontId="11" numFmtId="0" xfId="0" applyFill="1" applyFont="1"/>
    <xf borderId="0" fillId="3" fontId="45" numFmtId="0" xfId="0" applyAlignment="1" applyFill="1" applyFont="1">
      <alignment horizontal="center"/>
    </xf>
    <xf borderId="0" fillId="3" fontId="46" numFmtId="0" xfId="0" applyAlignment="1" applyFill="1" applyFont="1">
      <alignment horizontal="center"/>
    </xf>
    <xf borderId="0" fillId="10" fontId="47" numFmtId="0" xfId="0" applyAlignment="1" applyFill="1" applyFont="1">
      <alignment horizontal="center"/>
    </xf>
    <xf borderId="0" fillId="10" fontId="26" numFmtId="0" xfId="0" applyAlignment="1" applyFill="1" applyFont="1">
      <alignment horizontal="center" shrinkToFit="0" wrapText="1"/>
    </xf>
    <xf borderId="0" fillId="17" fontId="21" numFmtId="0" xfId="0" applyAlignment="1" applyFill="1" applyFont="1">
      <alignment horizontal="center" shrinkToFit="0" wrapText="1"/>
    </xf>
    <xf borderId="0" fillId="11" fontId="47" numFmtId="0" xfId="0" applyAlignment="1" applyFill="1" applyFont="1">
      <alignment horizontal="center"/>
    </xf>
    <xf borderId="0" fillId="3" fontId="48" numFmtId="0" xfId="0" applyAlignment="1" applyFill="1" applyFont="1">
      <alignment horizontal="center" shrinkToFit="0" wrapText="1"/>
    </xf>
    <xf borderId="0" fillId="5" fontId="49" numFmtId="0" xfId="0" applyFill="1" applyFont="1"/>
    <xf borderId="0" fillId="5" fontId="50" numFmtId="0" xfId="0" applyAlignment="1" applyFill="1" applyFont="1">
      <alignment horizontal="center"/>
    </xf>
    <xf borderId="0" fillId="5" fontId="51" numFmtId="0" xfId="0" applyAlignment="1" applyFill="1" applyFont="1">
      <alignment horizontal="center"/>
    </xf>
    <xf borderId="0" fillId="3" fontId="7" numFmtId="0" xfId="0" applyFill="1" applyFont="1"/>
    <xf borderId="0" fillId="3" fontId="48" numFmtId="0" xfId="0" applyAlignment="1" applyFill="1" applyFont="1">
      <alignment shrinkToFit="0" wrapText="1"/>
    </xf>
    <xf borderId="0" fillId="5" fontId="52" numFmtId="0" xfId="0" applyAlignment="1" applyFill="1" applyFont="1">
      <alignment horizontal="center"/>
    </xf>
    <xf borderId="0" fillId="17" fontId="1" numFmtId="0" xfId="0" applyAlignment="1" applyFill="1" applyFont="1">
      <alignment horizontal="center"/>
    </xf>
    <xf borderId="0" fillId="17" fontId="2" numFmtId="0" xfId="0" applyAlignment="1" applyFill="1" applyFont="1">
      <alignment horizontal="center" shrinkToFit="0" wrapText="1"/>
    </xf>
    <xf borderId="0" fillId="0" fontId="2" numFmtId="164" xfId="0" applyAlignment="1" applyFont="1" applyNumberFormat="1">
      <alignment shrinkToFit="0" wrapText="1"/>
    </xf>
    <xf borderId="0" fillId="0" fontId="53" numFmtId="0" xfId="0" applyFont="1"/>
    <xf borderId="0" fillId="0" fontId="1" numFmtId="0" xfId="0" applyAlignment="1" applyFont="1">
      <alignment horizontal="left"/>
    </xf>
    <xf borderId="0" fillId="18" fontId="54" numFmtId="0" xfId="0" applyAlignment="1" applyFill="1" applyFont="1">
      <alignment horizontal="center"/>
    </xf>
    <xf borderId="0" fillId="0" fontId="1" numFmtId="3" xfId="0" applyFont="1" applyNumberFormat="1"/>
    <xf borderId="0" fillId="24" fontId="8" numFmtId="0" xfId="0" applyAlignment="1" applyFill="1" applyFont="1">
      <alignment horizontal="center"/>
    </xf>
    <xf borderId="0" fillId="24" fontId="2" numFmtId="0" xfId="0" applyAlignment="1" applyFill="1" applyFont="1">
      <alignment horizontal="center" shrinkToFit="0" wrapText="1"/>
    </xf>
    <xf borderId="0" fillId="8" fontId="2" numFmtId="0" xfId="0" applyAlignment="1" applyFill="1" applyFont="1">
      <alignment shrinkToFit="0" wrapText="1"/>
    </xf>
    <xf borderId="0" fillId="0" fontId="55" numFmtId="0" xfId="0" applyAlignment="1" applyFont="1">
      <alignment horizontal="right"/>
    </xf>
    <xf borderId="0" fillId="8" fontId="55" numFmtId="0" xfId="0" applyAlignment="1" applyFill="1" applyFont="1">
      <alignment horizontal="center"/>
    </xf>
    <xf borderId="0" fillId="24" fontId="2" numFmtId="0" xfId="0" applyAlignment="1" applyFill="1" applyFont="1">
      <alignment horizontal="center"/>
    </xf>
    <xf borderId="0" fillId="0" fontId="2" numFmtId="0" xfId="0" applyAlignment="1" applyFont="1">
      <alignment horizontal="center" shrinkToFit="0" wrapText="1"/>
    </xf>
    <xf borderId="0" fillId="25" fontId="1" numFmtId="0" xfId="0" applyAlignment="1" applyFill="1" applyFont="1">
      <alignment horizontal="center"/>
    </xf>
    <xf borderId="0" fillId="5" fontId="2" numFmtId="0" xfId="0" applyAlignment="1" applyFill="1" applyFont="1">
      <alignment shrinkToFit="0" wrapText="1"/>
    </xf>
    <xf borderId="0" fillId="0" fontId="55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56" numFmtId="0" xfId="0" applyAlignment="1" applyFont="1">
      <alignment shrinkToFit="0" wrapText="1"/>
    </xf>
    <xf borderId="0" fillId="5" fontId="55" numFmtId="0" xfId="0" applyAlignment="1" applyFill="1" applyFont="1">
      <alignment horizontal="right"/>
    </xf>
    <xf borderId="0" fillId="5" fontId="55" numFmtId="0" xfId="0" applyAlignment="1" applyFill="1" applyFont="1">
      <alignment horizontal="center"/>
    </xf>
    <xf borderId="0" fillId="9" fontId="1" numFmtId="0" xfId="0" applyAlignment="1" applyFill="1" applyFont="1">
      <alignment horizontal="center"/>
    </xf>
    <xf borderId="0" fillId="9" fontId="57" numFmtId="0" xfId="0" applyAlignment="1" applyFill="1" applyFont="1">
      <alignment shrinkToFit="0" wrapText="1"/>
    </xf>
    <xf borderId="0" fillId="0" fontId="2" numFmtId="0" xfId="0" applyFont="1"/>
    <xf borderId="0" fillId="5" fontId="1" numFmtId="0" xfId="0" applyAlignment="1" applyFill="1" applyFont="1">
      <alignment horizontal="center"/>
    </xf>
    <xf borderId="0" fillId="15" fontId="1" numFmtId="0" xfId="0" applyAlignment="1" applyFill="1" applyFont="1">
      <alignment horizontal="center"/>
    </xf>
    <xf borderId="0" fillId="11" fontId="58" numFmtId="0" xfId="0" applyAlignment="1" applyFill="1" applyFont="1">
      <alignment shrinkToFit="0" wrapText="1"/>
    </xf>
    <xf borderId="0" fillId="8" fontId="53" numFmtId="0" xfId="0" applyAlignment="1" applyFill="1" applyFont="1">
      <alignment horizontal="center"/>
    </xf>
    <xf borderId="0" fillId="15" fontId="1" numFmtId="0" xfId="0" applyFill="1" applyFont="1"/>
    <xf borderId="0" fillId="24" fontId="2" numFmtId="0" xfId="0" applyFill="1" applyFont="1"/>
    <xf borderId="0" fillId="17" fontId="11" numFmtId="0" xfId="0" applyAlignment="1" applyFill="1" applyFont="1">
      <alignment horizontal="center"/>
    </xf>
    <xf borderId="1" fillId="8" fontId="55" numFmtId="0" xfId="0" applyAlignment="1" applyBorder="1" applyFill="1" applyFont="1">
      <alignment horizontal="right"/>
    </xf>
    <xf borderId="0" fillId="24" fontId="47" numFmtId="0" xfId="0" applyAlignment="1" applyFill="1" applyFont="1">
      <alignment horizontal="center"/>
    </xf>
    <xf borderId="0" fillId="0" fontId="59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55" numFmtId="0" xfId="0" applyAlignment="1" applyFont="1">
      <alignment horizontal="right" vertical="bottom"/>
    </xf>
    <xf borderId="0" fillId="8" fontId="55" numFmtId="0" xfId="0" applyAlignment="1" applyFill="1" applyFont="1">
      <alignment horizontal="right"/>
    </xf>
    <xf borderId="0" fillId="11" fontId="2" numFmtId="0" xfId="0" applyFill="1" applyFont="1"/>
    <xf borderId="0" fillId="0" fontId="60" numFmtId="0" xfId="0" applyAlignment="1" applyFont="1">
      <alignment horizontal="left" shrinkToFit="0" wrapText="1"/>
    </xf>
    <xf borderId="0" fillId="0" fontId="55" numFmtId="0" xfId="0" applyAlignment="1" applyFont="1">
      <alignment vertical="bottom"/>
    </xf>
    <xf borderId="0" fillId="15" fontId="61" numFmtId="0" xfId="0" applyAlignment="1" applyFill="1" applyFont="1">
      <alignment shrinkToFit="0" wrapText="1"/>
    </xf>
    <xf borderId="0" fillId="0" fontId="55" numFmtId="0" xfId="0" applyAlignment="1" applyFont="1">
      <alignment horizontal="center" vertical="bottom"/>
    </xf>
    <xf borderId="0" fillId="26" fontId="11" numFmtId="0" xfId="0" applyAlignment="1" applyFill="1" applyFont="1">
      <alignment horizontal="center"/>
    </xf>
    <xf borderId="0" fillId="0" fontId="53" numFmtId="0" xfId="0" applyAlignment="1" applyFont="1">
      <alignment horizontal="center"/>
    </xf>
    <xf borderId="0" fillId="0" fontId="62" numFmtId="0" xfId="0" applyAlignment="1" applyFont="1">
      <alignment horizontal="center"/>
    </xf>
    <xf borderId="0" fillId="17" fontId="11" numFmtId="0" xfId="0" applyAlignment="1" applyFill="1" applyFont="1">
      <alignment horizontal="left"/>
    </xf>
    <xf borderId="0" fillId="15" fontId="8" numFmtId="0" xfId="0" applyFill="1" applyFont="1"/>
    <xf borderId="0" fillId="19" fontId="11" numFmtId="0" xfId="0" applyAlignment="1" applyFill="1" applyFont="1">
      <alignment horizontal="center"/>
    </xf>
    <xf borderId="0" fillId="5" fontId="1" numFmtId="0" xfId="0" applyAlignment="1" applyFill="1" applyFont="1">
      <alignment shrinkToFit="0" wrapText="1"/>
    </xf>
    <xf borderId="0" fillId="0" fontId="63" numFmtId="0" xfId="0" applyAlignment="1" applyFont="1">
      <alignment horizontal="center"/>
    </xf>
    <xf borderId="0" fillId="27" fontId="7" numFmtId="0" xfId="0" applyFill="1" applyFont="1"/>
    <xf borderId="0" fillId="15" fontId="17" numFmtId="0" xfId="0" applyAlignment="1" applyFill="1" applyFont="1">
      <alignment horizontal="center"/>
    </xf>
    <xf borderId="0" fillId="0" fontId="64" numFmtId="0" xfId="0" applyFont="1"/>
    <xf borderId="0" fillId="0" fontId="1" numFmtId="0" xfId="0" applyAlignment="1" applyFont="1">
      <alignment shrinkToFit="0" wrapText="1"/>
    </xf>
    <xf borderId="0" fillId="0" fontId="64" numFmtId="0" xfId="0" applyAlignment="1" applyFont="1">
      <alignment horizontal="center"/>
    </xf>
    <xf borderId="0" fillId="8" fontId="11" numFmtId="0" xfId="0" applyAlignment="1" applyFill="1" applyFont="1">
      <alignment horizontal="center"/>
    </xf>
    <xf quotePrefix="1" borderId="0" fillId="5" fontId="1" numFmtId="0" xfId="0" applyAlignment="1" applyFill="1" applyFont="1">
      <alignment shrinkToFit="0" wrapText="1"/>
    </xf>
    <xf quotePrefix="1" borderId="0" fillId="0" fontId="64" numFmtId="0" xfId="0" applyFont="1"/>
    <xf borderId="0" fillId="9" fontId="2" numFmtId="0" xfId="0" applyAlignment="1" applyFill="1" applyFont="1">
      <alignment shrinkToFit="0" wrapText="1"/>
    </xf>
    <xf borderId="0" fillId="15" fontId="1" numFmtId="0" xfId="0" applyAlignment="1" applyFill="1" applyFont="1">
      <alignment shrinkToFit="0" wrapText="1"/>
    </xf>
    <xf borderId="0" fillId="0" fontId="2" numFmtId="0" xfId="0" applyAlignment="1" applyFont="1">
      <alignment horizontal="right"/>
    </xf>
    <xf borderId="1" fillId="8" fontId="65" numFmtId="0" xfId="0" applyAlignment="1" applyBorder="1" applyFill="1" applyFont="1">
      <alignment horizontal="center"/>
    </xf>
    <xf borderId="0" fillId="5" fontId="26" numFmtId="0" xfId="0" applyAlignment="1" applyFill="1" applyFont="1">
      <alignment shrinkToFit="0" wrapText="1"/>
    </xf>
    <xf borderId="0" fillId="2" fontId="55" numFmtId="0" xfId="0" applyAlignment="1" applyFill="1" applyFont="1">
      <alignment shrinkToFit="0" wrapText="1"/>
    </xf>
    <xf borderId="1" fillId="28" fontId="55" numFmtId="0" xfId="0" applyAlignment="1" applyBorder="1" applyFill="1" applyFont="1">
      <alignment horizontal="center"/>
    </xf>
    <xf borderId="1" fillId="28" fontId="2" numFmtId="0" xfId="0" applyAlignment="1" applyBorder="1" applyFill="1" applyFont="1">
      <alignment horizontal="center"/>
    </xf>
    <xf borderId="0" fillId="0" fontId="63" numFmtId="0" xfId="0" applyFont="1"/>
    <xf borderId="1" fillId="17" fontId="66" numFmtId="0" xfId="0" applyAlignment="1" applyBorder="1" applyFill="1" applyFont="1">
      <alignment horizontal="center"/>
    </xf>
    <xf borderId="0" fillId="0" fontId="55" numFmtId="0" xfId="0" applyAlignment="1" applyFont="1">
      <alignment shrinkToFit="0" wrapText="1"/>
    </xf>
    <xf borderId="0" fillId="0" fontId="55" numFmtId="0" xfId="0" applyFont="1"/>
    <xf borderId="0" fillId="0" fontId="8" numFmtId="0" xfId="0" applyAlignment="1" applyFont="1">
      <alignment horizontal="right"/>
    </xf>
    <xf borderId="1" fillId="8" fontId="55" numFmtId="0" xfId="0" applyBorder="1" applyFill="1" applyFont="1"/>
    <xf borderId="1" fillId="28" fontId="55" numFmtId="0" xfId="0" applyAlignment="1" applyBorder="1" applyFill="1" applyFont="1">
      <alignment horizontal="right"/>
    </xf>
    <xf borderId="0" fillId="28" fontId="55" numFmtId="0" xfId="0" applyAlignment="1" applyFill="1" applyFont="1">
      <alignment horizontal="right"/>
    </xf>
    <xf borderId="1" fillId="28" fontId="55" numFmtId="0" xfId="0" applyAlignment="1" applyBorder="1" applyFill="1" applyFont="1">
      <alignment horizontal="left"/>
    </xf>
    <xf borderId="1" fillId="28" fontId="55" numFmtId="0" xfId="0" applyBorder="1" applyFill="1" applyFont="1"/>
    <xf borderId="0" fillId="0" fontId="1" numFmtId="0" xfId="0" applyAlignment="1" applyFont="1">
      <alignment horizontal="right"/>
    </xf>
    <xf quotePrefix="1" borderId="0" fillId="8" fontId="55" numFmtId="0" xfId="0" applyAlignment="1" applyFill="1" applyFont="1">
      <alignment shrinkToFit="0" wrapText="1"/>
    </xf>
    <xf borderId="1" fillId="11" fontId="55" numFmtId="0" xfId="0" applyAlignment="1" applyBorder="1" applyFill="1" applyFont="1">
      <alignment horizontal="left"/>
    </xf>
    <xf borderId="1" fillId="11" fontId="55" numFmtId="0" xfId="0" applyBorder="1" applyFill="1" applyFont="1"/>
    <xf borderId="0" fillId="9" fontId="1" numFmtId="0" xfId="0" applyFill="1" applyFont="1"/>
    <xf borderId="1" fillId="9" fontId="55" numFmtId="0" xfId="0" applyBorder="1" applyFill="1" applyFont="1"/>
    <xf borderId="0" fillId="8" fontId="55" numFmtId="0" xfId="0" applyAlignment="1" applyFill="1" applyFont="1">
      <alignment shrinkToFit="0" wrapText="1"/>
    </xf>
    <xf borderId="0" fillId="0" fontId="67" numFmtId="0" xfId="0" applyFont="1"/>
    <xf borderId="1" fillId="28" fontId="55" numFmtId="0" xfId="0" applyAlignment="1" applyBorder="1" applyFill="1" applyFont="1">
      <alignment shrinkToFit="0" wrapText="1"/>
    </xf>
    <xf borderId="0" fillId="0" fontId="64" numFmtId="0" xfId="0" applyAlignment="1" applyFont="1">
      <alignment horizontal="right"/>
    </xf>
    <xf borderId="0" fillId="28" fontId="17" numFmtId="0" xfId="0" applyAlignment="1" applyFill="1" applyFont="1">
      <alignment horizontal="center"/>
    </xf>
    <xf borderId="0" fillId="8" fontId="7" numFmtId="0" xfId="0" applyAlignment="1" applyFill="1" applyFont="1">
      <alignment horizontal="center"/>
    </xf>
    <xf borderId="0" fillId="11" fontId="7" numFmtId="0" xfId="0" applyAlignment="1" applyFill="1" applyFont="1">
      <alignment horizontal="center"/>
    </xf>
    <xf borderId="0" fillId="0" fontId="68" numFmtId="0" xfId="0" applyFont="1"/>
    <xf borderId="0" fillId="0" fontId="69" numFmtId="0" xfId="0" applyFont="1"/>
    <xf borderId="0" fillId="0" fontId="69" numFmtId="0" xfId="0" applyAlignment="1" applyFont="1">
      <alignment readingOrder="0"/>
    </xf>
    <xf borderId="0" fillId="11" fontId="1" numFmtId="0" xfId="0" applyAlignment="1" applyFill="1" applyFont="1">
      <alignment horizontal="center" readingOrder="0"/>
    </xf>
    <xf borderId="0" fillId="11" fontId="1" numFmtId="0" xfId="0" applyFill="1" applyFont="1"/>
    <xf borderId="0" fillId="0" fontId="1" numFmtId="165" xfId="0" applyFont="1" applyNumberFormat="1"/>
    <xf borderId="0" fillId="11" fontId="69" numFmtId="0" xfId="0" applyAlignment="1" applyFill="1" applyFont="1">
      <alignment readingOrder="0"/>
    </xf>
    <xf borderId="0" fillId="28" fontId="70" numFmtId="0" xfId="0" applyAlignment="1" applyFill="1" applyFont="1">
      <alignment horizontal="center"/>
    </xf>
    <xf borderId="0" fillId="28" fontId="1" numFmtId="0" xfId="0" applyAlignment="1" applyFill="1" applyFont="1">
      <alignment horizontal="center"/>
    </xf>
    <xf borderId="0" fillId="11" fontId="69" numFmtId="0" xfId="0" applyFill="1" applyFont="1"/>
    <xf borderId="0" fillId="28" fontId="71" numFmtId="0" xfId="0" applyAlignment="1" applyFill="1" applyFont="1">
      <alignment horizontal="center"/>
    </xf>
    <xf borderId="0" fillId="5" fontId="1" numFmtId="0" xfId="0" applyAlignment="1" applyFill="1" applyFont="1">
      <alignment horizontal="center" shrinkToFit="0" wrapText="1"/>
    </xf>
    <xf borderId="0" fillId="28" fontId="1" numFmtId="0" xfId="0" applyFill="1" applyFont="1"/>
    <xf borderId="0" fillId="28" fontId="8" numFmtId="0" xfId="0" applyAlignment="1" applyFill="1" applyFont="1">
      <alignment horizontal="center"/>
    </xf>
    <xf borderId="0" fillId="28" fontId="26" numFmtId="0" xfId="0" applyAlignment="1" applyFill="1" applyFont="1">
      <alignment horizontal="center" shrinkToFit="0" wrapText="1"/>
    </xf>
    <xf borderId="0" fillId="2" fontId="17" numFmtId="0" xfId="0" applyAlignment="1" applyFill="1" applyFont="1">
      <alignment horizontal="center"/>
    </xf>
    <xf borderId="0" fillId="2" fontId="47" numFmtId="0" xfId="0" applyAlignment="1" applyFill="1" applyFont="1">
      <alignment horizontal="center"/>
    </xf>
    <xf borderId="0" fillId="2" fontId="72" numFmtId="0" xfId="0" applyAlignment="1" applyFill="1" applyFont="1">
      <alignment horizontal="center"/>
    </xf>
    <xf borderId="0" fillId="8" fontId="8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18" fontId="1" numFmtId="0" xfId="0" applyAlignment="1" applyFill="1" applyFont="1">
      <alignment horizontal="center"/>
    </xf>
    <xf borderId="0" fillId="29" fontId="1" numFmtId="0" xfId="0" applyFill="1" applyFont="1"/>
    <xf borderId="0" fillId="8" fontId="73" numFmtId="0" xfId="0" applyAlignment="1" applyFill="1" applyFont="1">
      <alignment horizontal="center"/>
    </xf>
    <xf borderId="0" fillId="24" fontId="1" numFmtId="0" xfId="0" applyAlignment="1" applyFill="1" applyFont="1">
      <alignment horizontal="center"/>
    </xf>
    <xf borderId="0" fillId="9" fontId="17" numFmtId="0" xfId="0" applyAlignment="1" applyFill="1" applyFont="1">
      <alignment horizontal="center"/>
    </xf>
    <xf borderId="0" fillId="10" fontId="17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0" fillId="0" fontId="1" numFmtId="166" xfId="0" applyFont="1" applyNumberFormat="1"/>
    <xf borderId="0" fillId="16" fontId="1" numFmtId="0" xfId="0" applyAlignment="1" applyFill="1" applyFont="1">
      <alignment horizontal="center"/>
    </xf>
    <xf quotePrefix="1"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horizontal="right"/>
    </xf>
    <xf borderId="0" fillId="2" fontId="55" numFmtId="0" xfId="0" applyAlignment="1" applyFill="1" applyFont="1">
      <alignment vertical="bottom"/>
    </xf>
    <xf borderId="0" fillId="11" fontId="8" numFmtId="0" xfId="0" applyAlignment="1" applyFill="1" applyFont="1">
      <alignment horizontal="center"/>
    </xf>
    <xf borderId="0" fillId="10" fontId="55" numFmtId="0" xfId="0" applyAlignment="1" applyFill="1" applyFont="1">
      <alignment vertical="bottom"/>
    </xf>
    <xf borderId="0" fillId="2" fontId="55" numFmtId="0" xfId="0" applyAlignment="1" applyFill="1" applyFont="1">
      <alignment horizontal="center" vertical="bottom"/>
    </xf>
    <xf borderId="0" fillId="11" fontId="55" numFmtId="0" xfId="0" applyAlignment="1" applyFill="1" applyFont="1">
      <alignment vertical="bottom"/>
    </xf>
    <xf borderId="0" fillId="2" fontId="1" numFmtId="0" xfId="0" applyAlignment="1" applyFill="1" applyFont="1">
      <alignment horizontal="left"/>
    </xf>
    <xf borderId="0" fillId="2" fontId="1" numFmtId="165" xfId="0" applyAlignment="1" applyFill="1" applyFont="1" applyNumberFormat="1">
      <alignment horizontal="center"/>
    </xf>
    <xf borderId="0" fillId="9" fontId="55" numFmtId="0" xfId="0" applyAlignment="1" applyFill="1" applyFont="1">
      <alignment horizontal="center" vertical="bottom"/>
    </xf>
    <xf borderId="0" fillId="28" fontId="55" numFmtId="0" xfId="0" applyAlignment="1" applyFill="1" applyFont="1">
      <alignment horizontal="center" vertical="bottom"/>
    </xf>
    <xf borderId="0" fillId="2" fontId="55" numFmtId="0" xfId="0" applyAlignment="1" applyFill="1" applyFont="1">
      <alignment horizontal="right" vertical="bottom"/>
    </xf>
    <xf borderId="0" fillId="10" fontId="1" numFmtId="0" xfId="0" applyFill="1" applyFont="1"/>
    <xf borderId="0" fillId="2" fontId="8" numFmtId="0" xfId="0" applyAlignment="1" applyFill="1" applyFont="1">
      <alignment horizontal="center"/>
    </xf>
    <xf borderId="0" fillId="2" fontId="2" numFmtId="0" xfId="0" applyAlignment="1" applyFill="1" applyFont="1">
      <alignment horizontal="center" vertical="bottom"/>
    </xf>
    <xf borderId="0" fillId="21" fontId="1" numFmtId="0" xfId="0" applyAlignment="1" applyFill="1" applyFont="1">
      <alignment horizontal="center"/>
    </xf>
    <xf borderId="0" fillId="2" fontId="1" numFmtId="166" xfId="0" applyAlignment="1" applyFill="1" applyFont="1" applyNumberFormat="1">
      <alignment horizontal="center"/>
    </xf>
    <xf borderId="0" fillId="2" fontId="7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/>
    </xf>
    <xf borderId="0" fillId="2" fontId="74" numFmtId="0" xfId="0" applyAlignment="1" applyFill="1" applyFont="1">
      <alignment horizontal="center"/>
    </xf>
    <xf borderId="0" fillId="19" fontId="8" numFmtId="0" xfId="0" applyAlignment="1" applyFill="1" applyFont="1">
      <alignment horizontal="center"/>
    </xf>
    <xf borderId="0" fillId="9" fontId="8" numFmtId="0" xfId="0" applyAlignment="1" applyFill="1" applyFont="1">
      <alignment horizontal="center"/>
    </xf>
    <xf borderId="0" fillId="30" fontId="1" numFmtId="0" xfId="0" applyAlignment="1" applyFill="1" applyFont="1">
      <alignment horizontal="center"/>
    </xf>
    <xf borderId="0" fillId="2" fontId="75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0.44"/>
    <col customWidth="1" min="3" max="3" width="13.44"/>
    <col customWidth="1" min="4" max="4" width="11.89"/>
    <col customWidth="1" min="5" max="5" width="38.33"/>
    <col customWidth="1" min="6" max="6" width="4.33"/>
    <col customWidth="1" min="7" max="7" width="12.89"/>
    <col customWidth="1" min="8" max="8" width="5.11"/>
    <col customWidth="1" min="9" max="10" width="17.22"/>
    <col customWidth="1" min="11" max="11" width="33.89"/>
    <col customWidth="1" min="12" max="12" width="4.22"/>
    <col customWidth="1" min="13" max="13" width="3.33"/>
    <col customWidth="1" min="14" max="14" width="2.89"/>
    <col customWidth="1" min="15" max="16" width="9.22"/>
    <col customWidth="1" min="17" max="17" width="19.44"/>
    <col customWidth="1" min="18" max="18" width="3.22"/>
    <col customWidth="1" min="19" max="19" width="5.33"/>
    <col customWidth="1" min="20" max="20" width="5.44"/>
    <col customWidth="1" min="21" max="21" width="4.56"/>
    <col customWidth="1" min="22" max="23" width="3.33"/>
    <col customWidth="1" min="24" max="24" width="4.33"/>
    <col customWidth="1" min="25" max="25" width="5.89"/>
    <col customWidth="1" min="26" max="26" width="7.0"/>
    <col customWidth="1" min="27" max="27" width="3.89"/>
    <col customWidth="1" min="28" max="28" width="6.33"/>
    <col customWidth="1" min="29" max="29" width="5.89"/>
  </cols>
  <sheetData>
    <row r="1" ht="15.75" customHeight="1">
      <c r="A1" s="2" t="str">
        <f>Victory!AC131</f>
        <v/>
      </c>
      <c r="B1" s="2" t="str">
        <f>Victory!AD131</f>
        <v/>
      </c>
      <c r="C1" s="2" t="str">
        <f>Victory!AE131</f>
        <v/>
      </c>
      <c r="D1" s="2" t="str">
        <f>AVERAGE(A1:C1)</f>
        <v>#DIV/0!</v>
      </c>
      <c r="E1" s="3" t="s">
        <v>0</v>
      </c>
      <c r="F1" s="4" t="str">
        <f>MID(SUM(A$1:C$1),1,1)</f>
        <v>0</v>
      </c>
      <c r="G1" s="5">
        <f>IF(LEN(SUM(A$1:C$1))&gt;1,MID(SUM(A$1:C$1),2,1),0)</f>
        <v>0</v>
      </c>
      <c r="H1" s="4">
        <f>SUM(F1+G1)</f>
        <v>0</v>
      </c>
      <c r="I1" s="6" t="str">
        <f>MID(D5,1,1)</f>
        <v>-</v>
      </c>
      <c r="J1" s="6"/>
      <c r="K1" s="7" t="str">
        <f>mid(D5,2,1)</f>
        <v>1</v>
      </c>
      <c r="L1" s="8">
        <f>mid(C5,2,1)-1</f>
        <v>-1</v>
      </c>
      <c r="N1" s="9" t="str">
        <f>mid(D4,2,1)</f>
        <v/>
      </c>
      <c r="O1" s="9">
        <f>mid(D4,1,1)*mid(C4,2,1)</f>
        <v>0</v>
      </c>
      <c r="P1" s="9" t="str">
        <f>mid(C4,1,1)</f>
        <v/>
      </c>
      <c r="S1" s="2">
        <v>328.0</v>
      </c>
      <c r="U1" s="2" t="s">
        <v>1</v>
      </c>
      <c r="W1" s="10" t="s">
        <v>2</v>
      </c>
      <c r="AC1" s="2" t="s">
        <v>3</v>
      </c>
    </row>
    <row r="2" ht="15.75" customHeight="1">
      <c r="A2" s="12"/>
      <c r="B2" s="12"/>
      <c r="C2" s="12">
        <v>3.0</v>
      </c>
      <c r="D2" s="2"/>
      <c r="E2" s="3"/>
      <c r="F2" s="4"/>
      <c r="G2" s="5"/>
      <c r="H2" s="4"/>
      <c r="I2" s="6"/>
      <c r="J2" s="6"/>
      <c r="K2" s="7"/>
      <c r="L2" s="8"/>
      <c r="N2" s="9"/>
      <c r="O2" s="9"/>
      <c r="P2" s="9"/>
      <c r="S2" s="2"/>
      <c r="U2" s="2"/>
      <c r="W2" s="10"/>
      <c r="AC2" s="2"/>
    </row>
    <row r="3" ht="15.75" customHeight="1">
      <c r="C3" s="18">
        <v>1.0</v>
      </c>
      <c r="D3" s="21">
        <f>'Copy of data'!E2</f>
        <v>4096</v>
      </c>
      <c r="E3" s="3"/>
      <c r="F3" s="4"/>
      <c r="G3" s="13"/>
      <c r="H3" s="4"/>
      <c r="I3" s="14"/>
      <c r="J3" s="14"/>
      <c r="K3" s="15"/>
      <c r="L3" s="14"/>
      <c r="M3" s="16"/>
      <c r="N3" s="17"/>
      <c r="O3" s="9"/>
      <c r="P3" s="9"/>
    </row>
    <row r="4" ht="15.75" customHeight="1">
      <c r="A4" s="19" t="str">
        <f>MID(D6,1,1)</f>
        <v>1</v>
      </c>
      <c r="B4" s="20" t="str">
        <f>mid(D6,2,1)</f>
        <v/>
      </c>
      <c r="C4" s="22" t="str">
        <f>CONCAT(A1,B1)</f>
        <v/>
      </c>
      <c r="D4" s="22" t="str">
        <f>CONCATENATE(C3,B1)</f>
        <v>1</v>
      </c>
      <c r="E4" s="3">
        <f>C4-D4</f>
        <v>-1</v>
      </c>
      <c r="F4" s="4">
        <f>H1</f>
        <v>0</v>
      </c>
      <c r="G4" s="5">
        <f>G1</f>
        <v>0</v>
      </c>
      <c r="H4" s="4" t="str">
        <f>F1</f>
        <v>0</v>
      </c>
      <c r="I4" s="23" t="str">
        <f>mid(D6,1,1)</f>
        <v>1</v>
      </c>
      <c r="J4" s="23"/>
      <c r="K4" s="24" t="str">
        <f>mid(D6,2,1)</f>
        <v/>
      </c>
      <c r="L4" s="23">
        <f>mid(D7,1,1) + mid(D7,2,1)</f>
        <v>0</v>
      </c>
      <c r="M4" s="16"/>
      <c r="N4" s="25">
        <f>F7</f>
        <v>-1</v>
      </c>
      <c r="O4" s="26">
        <f>H7-G7</f>
        <v>1</v>
      </c>
      <c r="P4" s="26" t="str">
        <f>G7</f>
        <v/>
      </c>
      <c r="T4" s="2" t="s">
        <v>1</v>
      </c>
      <c r="U4" s="2" t="str">
        <f>I7</f>
        <v/>
      </c>
      <c r="W4" s="2" t="str">
        <f t="shared" ref="W4:AB4" si="1">CONCAT($U4,W$3)</f>
        <v/>
      </c>
      <c r="X4" s="2" t="str">
        <f t="shared" si="1"/>
        <v/>
      </c>
      <c r="Y4" s="2" t="str">
        <f t="shared" si="1"/>
        <v/>
      </c>
      <c r="Z4" s="2" t="str">
        <f t="shared" si="1"/>
        <v/>
      </c>
      <c r="AA4" s="2" t="str">
        <f t="shared" si="1"/>
        <v/>
      </c>
      <c r="AB4" s="2" t="str">
        <f t="shared" si="1"/>
        <v/>
      </c>
    </row>
    <row r="5" ht="15.75" customHeight="1">
      <c r="A5" s="29"/>
      <c r="B5" s="20">
        <v>0.0</v>
      </c>
      <c r="C5" s="27">
        <f>H1-C4</f>
        <v>0</v>
      </c>
      <c r="D5" s="28">
        <f>H1-D4</f>
        <v>-1</v>
      </c>
      <c r="E5" s="2">
        <f t="shared" ref="E5:E6" si="2">C5+D5</f>
        <v>-1</v>
      </c>
      <c r="F5" s="30" t="str">
        <f>F1</f>
        <v>0</v>
      </c>
      <c r="G5" s="30">
        <f>H1</f>
        <v>0</v>
      </c>
      <c r="H5" s="30">
        <f>G1</f>
        <v>0</v>
      </c>
      <c r="I5" s="31" t="str">
        <f t="shared" ref="I5:I6" si="3">mid(C6,2,1)</f>
        <v/>
      </c>
      <c r="J5" s="31"/>
      <c r="K5" s="32">
        <f>mid(C6,1,1)-1</f>
        <v>-1</v>
      </c>
      <c r="L5" s="31" t="str">
        <f>mid(C7,1,1)</f>
        <v/>
      </c>
      <c r="M5" s="16"/>
      <c r="N5" s="33"/>
      <c r="O5" s="34"/>
      <c r="P5" s="34"/>
    </row>
    <row r="6" ht="15.75" customHeight="1">
      <c r="B6" s="3"/>
      <c r="C6" s="27">
        <f>C4+H1</f>
        <v>0</v>
      </c>
      <c r="D6" s="28">
        <f>D4+H1</f>
        <v>1</v>
      </c>
      <c r="E6" s="28">
        <f t="shared" si="2"/>
        <v>1</v>
      </c>
      <c r="F6" s="4" t="str">
        <f>A1</f>
        <v/>
      </c>
      <c r="G6" s="35">
        <f>C3</f>
        <v>1</v>
      </c>
      <c r="H6" s="4">
        <f>B1-3</f>
        <v>-3</v>
      </c>
      <c r="I6" s="36" t="str">
        <f t="shared" si="3"/>
        <v/>
      </c>
      <c r="J6" s="36"/>
      <c r="K6" s="37">
        <f>mid(C7,2,1)-mid(C6,2,1)</f>
        <v>0</v>
      </c>
      <c r="L6" s="36">
        <f>mid(C6,1,1)+mid(C6, 2,1)</f>
        <v>0</v>
      </c>
      <c r="M6" s="16"/>
      <c r="N6" s="39"/>
      <c r="O6" s="4"/>
      <c r="P6" s="4"/>
    </row>
    <row r="7" ht="15.75" customHeight="1">
      <c r="A7" s="40" t="str">
        <f>MID(C6,1,1)</f>
        <v>0</v>
      </c>
      <c r="B7" s="41">
        <v>0.0</v>
      </c>
      <c r="C7" s="43" t="str">
        <f>mid(D4,3,1)</f>
        <v/>
      </c>
      <c r="D7" s="43" t="str">
        <f>MID(D4,2,1)</f>
        <v/>
      </c>
      <c r="E7" s="44" t="s">
        <v>4</v>
      </c>
      <c r="F7" s="46">
        <f>CONCATENATE(MID(C4,1,1))-1</f>
        <v>-1</v>
      </c>
      <c r="G7" s="48" t="str">
        <f>B1</f>
        <v/>
      </c>
      <c r="H7" s="50">
        <f>C3</f>
        <v>1</v>
      </c>
      <c r="I7" s="51" t="str">
        <f>MID(H8,2,1)</f>
        <v/>
      </c>
      <c r="J7" s="51" t="str">
        <f>I7</f>
        <v/>
      </c>
      <c r="K7" s="52">
        <f>MID(H8,1,1)+2</f>
        <v>2</v>
      </c>
      <c r="L7" s="51">
        <f>H7-2</f>
        <v>-1</v>
      </c>
      <c r="M7" s="16"/>
      <c r="N7" s="23">
        <f>L8</f>
        <v>-2</v>
      </c>
      <c r="O7" s="23">
        <f>L8*K8</f>
        <v>-4</v>
      </c>
      <c r="P7" s="23">
        <f>I8-L8</f>
        <v>3</v>
      </c>
      <c r="U7" s="2" t="s">
        <v>5</v>
      </c>
    </row>
    <row r="8" ht="15.75" customHeight="1">
      <c r="A8" s="40" t="str">
        <f>MID(C6,3,1)</f>
        <v/>
      </c>
      <c r="B8" s="29">
        <f>D18</f>
        <v>1</v>
      </c>
      <c r="C8" s="53" t="str">
        <f>mid(D4,1,1)</f>
        <v>1</v>
      </c>
      <c r="D8" s="53">
        <v>0.0</v>
      </c>
      <c r="E8" s="44" t="s">
        <v>6</v>
      </c>
      <c r="F8" s="45">
        <f>CONCATENATE(MID(C5,1,1))+1</f>
        <v>1</v>
      </c>
      <c r="G8" s="45">
        <f>CONCATENATE(MID(C4,2,1))*MID(D4,1,1)</f>
        <v>0</v>
      </c>
      <c r="H8" s="54">
        <f>CONCATENATE(MID(C4,2,1))*MID(C4,2,1)</f>
        <v>0</v>
      </c>
      <c r="I8" s="55">
        <f>H7</f>
        <v>1</v>
      </c>
      <c r="J8" s="55">
        <f>mid(H7,1,1)-1</f>
        <v>0</v>
      </c>
      <c r="K8" s="24">
        <f>mid(H8,1,1)+2</f>
        <v>2</v>
      </c>
      <c r="L8" s="55">
        <f>mid(H8,2,1)-2 </f>
        <v>-2</v>
      </c>
      <c r="M8" s="16"/>
      <c r="N8" s="23">
        <f>IF(I8=5,8,I8)</f>
        <v>1</v>
      </c>
      <c r="O8" s="23">
        <f>K8+1</f>
        <v>3</v>
      </c>
      <c r="P8" s="23">
        <f>L8-1</f>
        <v>-3</v>
      </c>
      <c r="Q8" s="56" t="s">
        <v>7</v>
      </c>
      <c r="S8" s="57"/>
      <c r="T8" s="57"/>
      <c r="AA8" s="2">
        <f>123*13</f>
        <v>1599</v>
      </c>
    </row>
    <row r="9" ht="41.25" customHeight="1">
      <c r="A9" s="61">
        <f>H1</f>
        <v>0</v>
      </c>
      <c r="B9" s="61" t="str">
        <f>G7</f>
        <v/>
      </c>
      <c r="C9" s="2">
        <f>2</f>
        <v>2</v>
      </c>
      <c r="D9" s="2">
        <f>C3+1</f>
        <v>2</v>
      </c>
      <c r="E9" s="3">
        <f>B1+1</f>
        <v>1</v>
      </c>
      <c r="F9" s="58" t="str">
        <f>B20</f>
        <v/>
      </c>
      <c r="G9" s="59" t="str">
        <f>B22</f>
        <v/>
      </c>
      <c r="H9" s="49" t="str">
        <f>B21</f>
        <v/>
      </c>
      <c r="I9" s="23">
        <f>Mid(H8,1,1)+1 </f>
        <v>1</v>
      </c>
      <c r="J9" s="23" t="str">
        <f>mid(H8,1,1)</f>
        <v>0</v>
      </c>
      <c r="K9" s="60">
        <f>MID(H8,2,1)+2</f>
        <v>2</v>
      </c>
      <c r="L9" s="23">
        <f>H7</f>
        <v>1</v>
      </c>
      <c r="M9" s="16"/>
      <c r="N9" s="62">
        <f>O8/2</f>
        <v>1.5</v>
      </c>
      <c r="O9" s="23">
        <f>N8-P8</f>
        <v>4</v>
      </c>
      <c r="P9" s="23">
        <f>O9-P8</f>
        <v>7</v>
      </c>
      <c r="S9" s="57"/>
      <c r="T9" s="57"/>
      <c r="AA9" s="2">
        <v>25.0</v>
      </c>
      <c r="AB9" s="2">
        <v>26.0</v>
      </c>
    </row>
    <row r="10" ht="15.75" customHeight="1">
      <c r="A10" s="2"/>
      <c r="C10" s="63">
        <f>A1*B1</f>
        <v>0</v>
      </c>
      <c r="D10" s="64">
        <f>B1*C3</f>
        <v>0</v>
      </c>
      <c r="E10" s="71"/>
      <c r="F10" s="72">
        <f>F9+H9</f>
        <v>0</v>
      </c>
      <c r="G10" s="45" t="str">
        <f>CONCATENATE(MID(E48,2,1))</f>
        <v>7</v>
      </c>
      <c r="H10" s="54" t="str">
        <f>CONCATENATE(MID(E48,3,1))</f>
        <v>2</v>
      </c>
      <c r="I10" s="68">
        <f>MID(H8,1,1)+2</f>
        <v>2</v>
      </c>
      <c r="J10" s="68"/>
      <c r="K10" s="69">
        <f>MID(H8, 2,1)-1</f>
        <v>-1</v>
      </c>
      <c r="L10" s="68">
        <f>H7</f>
        <v>1</v>
      </c>
      <c r="M10" s="16"/>
      <c r="N10" s="70">
        <f>I10*2</f>
        <v>4</v>
      </c>
      <c r="O10" s="55">
        <f>N10-K10</f>
        <v>5</v>
      </c>
      <c r="P10" s="55">
        <f>O10+L10</f>
        <v>6</v>
      </c>
      <c r="S10" s="57"/>
      <c r="T10" s="57"/>
      <c r="AA10" s="2">
        <v>123.0</v>
      </c>
      <c r="AB10" s="2">
        <v>33.0</v>
      </c>
    </row>
    <row r="11" ht="15.75" customHeight="1">
      <c r="A11" s="2" t="s">
        <v>12</v>
      </c>
      <c r="B11" s="56" t="s">
        <v>9</v>
      </c>
      <c r="C11" s="73" t="str">
        <f>B1+C0</f>
        <v>#ERROR!</v>
      </c>
      <c r="D11" s="73" t="str">
        <f>C11*A1</f>
        <v>#ERROR!</v>
      </c>
      <c r="E11" s="78" t="str">
        <f>CONCATENATE(left(E4,3), right(E5,2))</f>
        <v>-1-1</v>
      </c>
      <c r="F11" s="74">
        <f>F9+G9</f>
        <v>0</v>
      </c>
      <c r="G11" s="74"/>
      <c r="H11" s="74"/>
      <c r="I11" s="75" t="str">
        <f>MID(H8,2,1)</f>
        <v/>
      </c>
      <c r="J11" s="75"/>
      <c r="K11" s="76">
        <f>MID(H8,1,1)-1</f>
        <v>-1</v>
      </c>
      <c r="L11" s="23">
        <f>G8-1</f>
        <v>-1</v>
      </c>
      <c r="M11" s="16"/>
      <c r="N11" s="62">
        <f t="shared" ref="N11:O11" si="4">N8+2</f>
        <v>3</v>
      </c>
      <c r="O11" s="23">
        <f t="shared" si="4"/>
        <v>5</v>
      </c>
      <c r="P11" s="23">
        <f>N9</f>
        <v>1.5</v>
      </c>
      <c r="S11" s="57"/>
      <c r="T11" s="11"/>
      <c r="Y11" s="2">
        <f t="shared" ref="Y11:Y12" si="6">AA9+AB9</f>
        <v>51</v>
      </c>
      <c r="Z11" s="2">
        <f>Y11*30</f>
        <v>1530</v>
      </c>
    </row>
    <row r="12" ht="15.75" customHeight="1">
      <c r="C12" s="63">
        <f>A1*B1</f>
        <v>0</v>
      </c>
      <c r="D12" s="73">
        <f>B1+C3</f>
        <v>1</v>
      </c>
      <c r="E12" s="77"/>
      <c r="F12" s="74">
        <f>G9+H9</f>
        <v>0</v>
      </c>
      <c r="G12" s="74"/>
      <c r="H12" s="74"/>
      <c r="I12" s="75">
        <f>MID(H8,1,1)*2</f>
        <v>0</v>
      </c>
      <c r="J12" s="75">
        <f t="shared" ref="J12:J14" si="7">I12-1</f>
        <v>-1</v>
      </c>
      <c r="K12" s="76">
        <f>mid(H8,2,1)/3</f>
        <v>0</v>
      </c>
      <c r="L12" s="14">
        <f>MID(H8,2,1)-H7</f>
        <v>-1</v>
      </c>
      <c r="M12" s="16"/>
      <c r="N12" s="62">
        <f t="shared" ref="N12:P12" si="5">N11-1</f>
        <v>2</v>
      </c>
      <c r="O12" s="23">
        <f t="shared" si="5"/>
        <v>4</v>
      </c>
      <c r="P12" s="23">
        <f t="shared" si="5"/>
        <v>0.5</v>
      </c>
      <c r="S12" s="57"/>
      <c r="T12" s="11"/>
      <c r="Y12" s="2">
        <f t="shared" si="6"/>
        <v>156</v>
      </c>
      <c r="Z12" s="2">
        <f>Y12*13</f>
        <v>2028</v>
      </c>
    </row>
    <row r="13" ht="15.75" customHeight="1">
      <c r="B13" s="56" t="s">
        <v>13</v>
      </c>
      <c r="C13" s="31">
        <f>C3</f>
        <v>1</v>
      </c>
      <c r="D13" s="31">
        <f>B1-1</f>
        <v>-1</v>
      </c>
      <c r="E13" s="79" t="str">
        <f>A1</f>
        <v/>
      </c>
      <c r="F13" s="4"/>
      <c r="G13" s="4"/>
      <c r="H13" s="4"/>
      <c r="I13" s="85" t="str">
        <f>mid(C6,2,1)</f>
        <v/>
      </c>
      <c r="J13" s="75">
        <f t="shared" si="7"/>
        <v>-1</v>
      </c>
      <c r="K13" s="80">
        <f>mid(C7,1,1)-C8</f>
        <v>-1</v>
      </c>
      <c r="L13" s="14" t="str">
        <f>mid(C7,1,1)</f>
        <v/>
      </c>
      <c r="M13" s="16"/>
      <c r="N13" s="62">
        <f t="shared" ref="N13:O13" si="8">N12-1</f>
        <v>1</v>
      </c>
      <c r="O13" s="23">
        <f t="shared" si="8"/>
        <v>3</v>
      </c>
      <c r="P13" s="23">
        <f>P12+1</f>
        <v>1.5</v>
      </c>
      <c r="S13" s="57"/>
      <c r="T13" s="11"/>
      <c r="Y13" s="38"/>
    </row>
    <row r="14" ht="15.75" customHeight="1">
      <c r="A14" s="82" t="s">
        <v>14</v>
      </c>
      <c r="B14" s="82" t="s">
        <v>15</v>
      </c>
      <c r="C14" s="83">
        <f>D9-1</f>
        <v>1</v>
      </c>
      <c r="D14" s="89">
        <f>D9+C9</f>
        <v>4</v>
      </c>
      <c r="E14" s="84">
        <f>E9</f>
        <v>1</v>
      </c>
      <c r="F14" s="4"/>
      <c r="G14" s="4"/>
      <c r="H14" s="4"/>
      <c r="I14" s="76" t="str">
        <f>mid(C6,1,1)</f>
        <v>0</v>
      </c>
      <c r="J14" s="75">
        <f t="shared" si="7"/>
        <v>-1</v>
      </c>
      <c r="K14" s="76" t="str">
        <f>mid(D7,1,1)</f>
        <v/>
      </c>
      <c r="L14" s="86" t="str">
        <f>mid(D7,2,1)</f>
        <v/>
      </c>
      <c r="M14" s="16"/>
      <c r="N14" s="87">
        <f>I8-2</f>
        <v>-1</v>
      </c>
      <c r="O14" s="88">
        <f>K8</f>
        <v>2</v>
      </c>
      <c r="P14" s="88">
        <f>L8*2</f>
        <v>-4</v>
      </c>
      <c r="S14" s="11"/>
      <c r="T14" s="11"/>
      <c r="Y14" s="2">
        <f>5150</f>
        <v>5150</v>
      </c>
    </row>
    <row r="15" ht="15.75" customHeight="1">
      <c r="B15" s="38">
        <v>107.0</v>
      </c>
      <c r="C15" s="90">
        <f>D13</f>
        <v>-1</v>
      </c>
      <c r="D15" s="90">
        <f>D13+E13</f>
        <v>-1</v>
      </c>
      <c r="E15" s="91">
        <f>E14-1</f>
        <v>0</v>
      </c>
      <c r="F15" s="92"/>
      <c r="G15" s="92"/>
      <c r="H15" s="92"/>
      <c r="I15" s="76">
        <f>mid(D4,1,1)+mid(D4, 2,1)</f>
        <v>1</v>
      </c>
      <c r="J15" s="4"/>
      <c r="K15" s="48" t="str">
        <f>mid(C4,2,1)</f>
        <v/>
      </c>
      <c r="L15" s="93" t="str">
        <f>mid(C6,1,1)</f>
        <v>0</v>
      </c>
      <c r="M15" s="16"/>
      <c r="N15" s="33">
        <f>MID(H8,1,1)+1</f>
        <v>1</v>
      </c>
      <c r="O15" s="34">
        <f>MID(H8,2,1)+1</f>
        <v>1</v>
      </c>
      <c r="P15" s="34">
        <f>O15+H7</f>
        <v>2</v>
      </c>
      <c r="Y15" s="2">
        <f>Y14-SUM(Z11:Z12)</f>
        <v>1592</v>
      </c>
    </row>
    <row r="16" ht="15.75" customHeight="1">
      <c r="A16" s="49" t="s">
        <v>16</v>
      </c>
      <c r="B16" s="38" t="str">
        <f>CONCATENATE(A7,A9,B4)</f>
        <v>00</v>
      </c>
      <c r="C16" s="96"/>
      <c r="D16" s="97"/>
      <c r="F16" s="76" t="str">
        <f>MID(C6,1,1)</f>
        <v>0</v>
      </c>
      <c r="G16" s="76">
        <f>MID(C4,2,1)-mid(D4,1,1)</f>
        <v>-1</v>
      </c>
      <c r="H16" s="76" t="str">
        <f>MID(D4,2,1)</f>
        <v/>
      </c>
      <c r="I16" s="4" t="str">
        <f>mid(G8,2,1)</f>
        <v/>
      </c>
      <c r="J16" s="4"/>
      <c r="K16" s="48">
        <f>MID(G8,1,1)-1</f>
        <v>-1</v>
      </c>
      <c r="L16" s="93" t="str">
        <f>mid(C4,1,1)</f>
        <v/>
      </c>
      <c r="M16" s="98"/>
      <c r="N16" s="100" t="str">
        <f>MID(L11,1,1)</f>
        <v>-</v>
      </c>
      <c r="O16" s="99">
        <f>MID(L11,2,1)+3</f>
        <v>4</v>
      </c>
      <c r="P16" s="99">
        <f>L12*3</f>
        <v>-3</v>
      </c>
    </row>
    <row r="17" ht="24.75" customHeight="1">
      <c r="A17" s="2" t="str">
        <f>Victory!AC125</f>
        <v/>
      </c>
      <c r="B17" s="2" t="str">
        <f>Victory!AC136</f>
        <v>3</v>
      </c>
      <c r="C17" s="61" t="str">
        <f>E13</f>
        <v/>
      </c>
      <c r="D17" s="61">
        <f>D13</f>
        <v>-1</v>
      </c>
      <c r="E17" s="20">
        <f>D14+1</f>
        <v>5</v>
      </c>
      <c r="F17" s="101" t="str">
        <f>MID(I17,1,1)</f>
        <v/>
      </c>
      <c r="G17" s="101" t="str">
        <f>MID(I17,2,1)</f>
        <v/>
      </c>
      <c r="H17" s="101" t="str">
        <f>MID(I17,3,1)</f>
        <v/>
      </c>
      <c r="I17" s="4" t="str">
        <f>MID(G8,2,1)</f>
        <v/>
      </c>
      <c r="J17" s="4"/>
      <c r="K17" s="102">
        <f>MID(G8,1,1)-1</f>
        <v>-1</v>
      </c>
      <c r="L17" s="62" t="str">
        <f>G7</f>
        <v/>
      </c>
      <c r="M17" s="16"/>
      <c r="N17" s="103">
        <f>O12</f>
        <v>4</v>
      </c>
      <c r="O17" s="104">
        <f>if(O11=8,5,O11)</f>
        <v>5</v>
      </c>
      <c r="P17" s="104">
        <f>O13</f>
        <v>3</v>
      </c>
    </row>
    <row r="18" ht="15.75" customHeight="1">
      <c r="A18" s="2" t="str">
        <f>Victory!AC124</f>
        <v/>
      </c>
      <c r="C18" s="108" t="str">
        <f>C17</f>
        <v/>
      </c>
      <c r="D18" s="108">
        <f>C17-D17</f>
        <v>1</v>
      </c>
      <c r="E18" s="106">
        <f>E17</f>
        <v>5</v>
      </c>
      <c r="F18" s="107">
        <f>MID(C4,1,1)+1</f>
        <v>1</v>
      </c>
      <c r="G18" s="76">
        <f>mid(C4,2,1) + mid(D4,1,1)</f>
        <v>1</v>
      </c>
      <c r="H18" s="74">
        <f>mid(D4,2,1)-1</f>
        <v>-1</v>
      </c>
      <c r="I18" s="109" t="str">
        <f>mid(D6,3,1)</f>
        <v/>
      </c>
      <c r="J18" s="109"/>
      <c r="L18" s="62" t="str">
        <f>mid(D7,2,1)</f>
        <v/>
      </c>
      <c r="M18" s="110"/>
      <c r="N18" s="111"/>
      <c r="O18" s="112"/>
      <c r="P18" s="112"/>
    </row>
    <row r="19" ht="21.0" customHeight="1">
      <c r="A19" s="22">
        <f>ABs(A17-B17)</f>
        <v>3</v>
      </c>
      <c r="B19" s="22"/>
      <c r="C19" s="61">
        <f>D6</f>
        <v>1</v>
      </c>
      <c r="D19" s="61" t="str">
        <f>LEFT(C6,2)</f>
        <v>0</v>
      </c>
      <c r="E19" s="29"/>
      <c r="F19" s="113"/>
      <c r="G19" s="113"/>
      <c r="H19" s="114"/>
      <c r="I19" s="76">
        <f>I17/2</f>
        <v>0</v>
      </c>
      <c r="J19" s="76"/>
      <c r="K19" s="76">
        <f>K11</f>
        <v>-1</v>
      </c>
      <c r="L19" s="121">
        <f>L17+1</f>
        <v>1</v>
      </c>
      <c r="M19" s="16"/>
      <c r="N19" s="16"/>
    </row>
    <row r="20" ht="15.75" customHeight="1">
      <c r="A20" s="2">
        <f>abs(A18-B17)</f>
        <v>3</v>
      </c>
      <c r="C20" s="29" t="str">
        <f>concatenate(right(D18, 1), left(D18,1))</f>
        <v>11</v>
      </c>
      <c r="D20" s="29"/>
      <c r="F20" s="116"/>
      <c r="G20" s="116"/>
      <c r="H20" s="117"/>
      <c r="I20" s="3">
        <f>I10</f>
        <v>2</v>
      </c>
      <c r="J20" s="3"/>
      <c r="K20" s="118" t="str">
        <f>I11</f>
        <v/>
      </c>
      <c r="L20" s="16">
        <f>I12-1</f>
        <v>-1</v>
      </c>
      <c r="M20" s="119"/>
      <c r="N20" s="119"/>
      <c r="S20" s="122">
        <f>O20+P20</f>
        <v>0</v>
      </c>
      <c r="T20" s="2" t="str">
        <f>Q20</f>
        <v/>
      </c>
      <c r="U20" s="2" t="str">
        <f>P20</f>
        <v/>
      </c>
    </row>
    <row r="21" ht="15.75" customHeight="1">
      <c r="A21" s="2">
        <f>A19+A20</f>
        <v>6</v>
      </c>
      <c r="F21" s="116">
        <f>G18</f>
        <v>1</v>
      </c>
      <c r="G21" s="116">
        <f>F18</f>
        <v>1</v>
      </c>
      <c r="H21" s="117">
        <f>H18</f>
        <v>-1</v>
      </c>
      <c r="I21" s="3">
        <f>MID(H8,1,1)+MID(H8,2,1)</f>
        <v>0</v>
      </c>
      <c r="J21" s="3"/>
      <c r="K21" s="3"/>
      <c r="L21" s="16">
        <f>H7</f>
        <v>1</v>
      </c>
      <c r="M21" s="119"/>
      <c r="N21" s="119"/>
    </row>
    <row r="22" ht="15.75" customHeight="1">
      <c r="A22" s="2">
        <f>A20*A19</f>
        <v>9</v>
      </c>
      <c r="C22" s="29"/>
      <c r="D22" s="29"/>
      <c r="E22" s="123" t="s">
        <v>20</v>
      </c>
      <c r="F22" s="116" t="str">
        <f>I6</f>
        <v/>
      </c>
      <c r="G22" s="116">
        <f>K6+1</f>
        <v>1</v>
      </c>
      <c r="H22" s="124">
        <f>L6-1</f>
        <v>-1</v>
      </c>
      <c r="I22" s="3"/>
      <c r="J22" s="3"/>
      <c r="K22" s="3"/>
      <c r="L22" s="16"/>
      <c r="M22" s="119"/>
      <c r="N22" s="119"/>
    </row>
    <row r="23" ht="15.75" customHeight="1">
      <c r="C23" s="29"/>
      <c r="D23" s="29"/>
      <c r="E23" s="29"/>
      <c r="F23" s="116">
        <f>I5-1</f>
        <v>-1</v>
      </c>
      <c r="G23" s="116">
        <f>K5-1</f>
        <v>-2</v>
      </c>
      <c r="H23" s="116" t="str">
        <f>L5</f>
        <v/>
      </c>
      <c r="I23" s="125"/>
      <c r="J23" s="125"/>
      <c r="K23" s="3"/>
      <c r="L23" s="119"/>
      <c r="M23" s="119"/>
      <c r="N23" s="119"/>
    </row>
    <row r="24" ht="15.75" customHeight="1">
      <c r="B24" s="126"/>
      <c r="C24" s="127"/>
      <c r="D24" s="127"/>
      <c r="E24" s="128" t="s">
        <v>22</v>
      </c>
      <c r="G24" s="130">
        <f>K1-1</f>
        <v>0</v>
      </c>
      <c r="H24" s="123">
        <f>H23/F26</f>
        <v>0</v>
      </c>
      <c r="I24" s="131"/>
      <c r="J24" s="131"/>
      <c r="K24" s="129"/>
      <c r="L24" s="119"/>
      <c r="M24" s="119"/>
      <c r="N24" s="119"/>
    </row>
    <row r="25" ht="15.75" customHeight="1">
      <c r="A25" s="2" t="s">
        <v>23</v>
      </c>
      <c r="B25" s="126"/>
      <c r="C25" s="132"/>
      <c r="D25" s="132"/>
      <c r="E25" s="133"/>
      <c r="F25" s="116">
        <f>I6+1</f>
        <v>1</v>
      </c>
      <c r="G25" s="116">
        <f>F25+K6</f>
        <v>1</v>
      </c>
      <c r="H25" s="116">
        <f>K6+L6</f>
        <v>0</v>
      </c>
      <c r="I25" s="125" t="s">
        <v>24</v>
      </c>
      <c r="J25" s="125"/>
      <c r="K25" s="134" t="str">
        <f>CONCATENATE(mid(I35,1,1),mid(I35,2,1),mid(I35,3,1)-2)  </f>
        <v>-2-2</v>
      </c>
      <c r="L25" s="119"/>
      <c r="M25" s="119"/>
      <c r="N25" s="119"/>
      <c r="O25" s="56"/>
    </row>
    <row r="26" ht="15.75" customHeight="1">
      <c r="A26" s="2" t="s">
        <v>25</v>
      </c>
      <c r="B26" s="135"/>
      <c r="C26" s="136"/>
      <c r="D26" s="136"/>
      <c r="E26" s="133"/>
      <c r="F26" s="130">
        <f>F23-D37</f>
        <v>-1</v>
      </c>
      <c r="G26" s="116">
        <f>K10</f>
        <v>-1</v>
      </c>
      <c r="H26" s="137">
        <f>0</f>
        <v>0</v>
      </c>
      <c r="I26" s="125"/>
      <c r="J26" s="125"/>
      <c r="K26" s="138" t="str">
        <f>CONCATENATE(mid(I35,1,1),mid(I35,2,1),mid(I35,3,1)/2)  </f>
        <v>-20</v>
      </c>
    </row>
    <row r="27" ht="15.75" customHeight="1">
      <c r="B27" s="126"/>
      <c r="C27" s="126"/>
      <c r="D27" s="126"/>
      <c r="E27" s="139"/>
      <c r="F27" s="116">
        <f>H25-1</f>
        <v>-1</v>
      </c>
      <c r="G27" s="116">
        <f>G25</f>
        <v>1</v>
      </c>
      <c r="H27" s="116">
        <f>H25+G25</f>
        <v>1</v>
      </c>
      <c r="I27" s="125" t="s">
        <v>27</v>
      </c>
      <c r="J27" s="125"/>
      <c r="P27" s="2">
        <v>503.0</v>
      </c>
    </row>
    <row r="28" ht="15.75" customHeight="1">
      <c r="A28" s="2" t="str">
        <f>Victory!AC129</f>
        <v/>
      </c>
      <c r="B28" s="126"/>
      <c r="C28" s="126"/>
      <c r="D28" s="126" t="str">
        <f>sqft(629)</f>
        <v>#NAME?</v>
      </c>
      <c r="E28" s="2" t="s">
        <v>28</v>
      </c>
      <c r="F28" s="140">
        <f>0</f>
        <v>0</v>
      </c>
      <c r="G28" s="140">
        <f>G27</f>
        <v>1</v>
      </c>
      <c r="H28" s="141">
        <f>F27-1</f>
        <v>-2</v>
      </c>
      <c r="I28" s="28" t="s">
        <v>29</v>
      </c>
      <c r="J28" s="28"/>
      <c r="K28" s="142" t="str">
        <f>CONCATENATE(A1+1,B1+1,C3+1)</f>
        <v>112</v>
      </c>
      <c r="L28" s="143" t="str">
        <f>Concatenate(MID(K28,4,1)-MID(K28,3,1),MID(K28,2,1),MID(K28,1,1))</f>
        <v>-211</v>
      </c>
      <c r="M28" s="38"/>
      <c r="N28" s="38"/>
      <c r="O28" s="56"/>
      <c r="P28" s="2">
        <v>793.0</v>
      </c>
      <c r="R28" s="144"/>
      <c r="T28" s="2">
        <v>69.0</v>
      </c>
      <c r="U28" s="2">
        <v>96.0</v>
      </c>
      <c r="V28" s="2">
        <v>960.0</v>
      </c>
    </row>
    <row r="29" ht="15.75" customHeight="1">
      <c r="A29" s="2" t="str">
        <f>Victory!AD129</f>
        <v/>
      </c>
      <c r="B29" s="126"/>
      <c r="C29" s="126"/>
      <c r="D29" s="126"/>
      <c r="E29" s="145" t="s">
        <v>30</v>
      </c>
      <c r="F29" s="146" t="str">
        <f>F22</f>
        <v/>
      </c>
      <c r="H29" s="146">
        <f>G22</f>
        <v>1</v>
      </c>
      <c r="I29" s="147"/>
      <c r="J29" s="148"/>
      <c r="K29" s="125" t="s">
        <v>31</v>
      </c>
      <c r="L29" s="149"/>
      <c r="M29" s="150"/>
      <c r="N29" s="38"/>
      <c r="O29" s="2">
        <v>541.0</v>
      </c>
      <c r="P29" s="2">
        <v>229.0</v>
      </c>
      <c r="T29" s="151">
        <v>963.0</v>
      </c>
      <c r="U29" s="151">
        <v>369.0</v>
      </c>
      <c r="V29" s="151">
        <v>769.0</v>
      </c>
      <c r="W29" s="151"/>
    </row>
    <row r="30" ht="15.75" customHeight="1">
      <c r="A30" s="2">
        <f>A28*A29</f>
        <v>0</v>
      </c>
      <c r="B30" s="152"/>
      <c r="C30" s="152"/>
      <c r="D30" s="152"/>
      <c r="E30" s="153"/>
      <c r="F30" s="146">
        <f>C30-B1</f>
        <v>0</v>
      </c>
      <c r="G30" s="146">
        <f>F30+1</f>
        <v>1</v>
      </c>
      <c r="H30" s="146" t="str">
        <f>D30</f>
        <v/>
      </c>
      <c r="I30" s="3"/>
      <c r="J30" s="3"/>
      <c r="K30" s="154"/>
      <c r="L30" s="38"/>
      <c r="M30" s="38"/>
      <c r="N30" s="38"/>
      <c r="W30" s="151"/>
      <c r="X30" s="151"/>
    </row>
    <row r="31" ht="36.0" customHeight="1">
      <c r="A31" s="2">
        <f>A28*left(A29,  1)</f>
        <v>0</v>
      </c>
      <c r="B31" s="135"/>
      <c r="C31" s="135"/>
      <c r="D31" s="135"/>
      <c r="E31" s="145" t="s">
        <v>30</v>
      </c>
      <c r="F31" s="146" t="str">
        <f>#REF!</f>
        <v>#REF!</v>
      </c>
      <c r="G31" s="146">
        <f>G26-1</f>
        <v>-2</v>
      </c>
      <c r="H31" s="146">
        <f>H26+2</f>
        <v>2</v>
      </c>
      <c r="I31" s="44" t="s">
        <v>35</v>
      </c>
      <c r="J31" s="44"/>
      <c r="K31" s="156" t="str">
        <f>CONCATENATE(mid(I35,1,1),mid(I35,2,1),mid(I35,3,1)+2)  </f>
        <v>-22</v>
      </c>
      <c r="L31" s="38"/>
      <c r="M31" s="38"/>
      <c r="N31" s="38"/>
      <c r="P31" s="2">
        <v>519.0</v>
      </c>
      <c r="T31" s="2">
        <v>967.0</v>
      </c>
      <c r="U31" s="2">
        <v>69.0</v>
      </c>
      <c r="W31" s="151"/>
    </row>
    <row r="32" ht="15.75" customHeight="1">
      <c r="A32" s="2">
        <f>A28*right(A29, 1)</f>
        <v>0</v>
      </c>
      <c r="B32" s="126"/>
      <c r="C32" s="126"/>
      <c r="D32" s="126"/>
      <c r="E32" s="145" t="s">
        <v>30</v>
      </c>
      <c r="F32" s="158">
        <f t="shared" ref="F32:G32" si="9">C27+2</f>
        <v>2</v>
      </c>
      <c r="G32" s="158">
        <f t="shared" si="9"/>
        <v>2</v>
      </c>
      <c r="H32" s="146">
        <f>E27+1</f>
        <v>1</v>
      </c>
      <c r="I32" s="3"/>
      <c r="J32" s="3"/>
      <c r="K32" s="134" t="str">
        <f>CONCATENATE(mid(I35,3,1)+2,mid(I35,2,1),mid(I35,1,1))  </f>
        <v>22-</v>
      </c>
      <c r="L32" s="159"/>
      <c r="M32" s="38"/>
      <c r="N32" s="38"/>
      <c r="R32" s="11"/>
      <c r="T32" s="151"/>
      <c r="U32" s="151"/>
      <c r="V32" s="151"/>
      <c r="W32" s="151"/>
    </row>
    <row r="33" ht="15.75" customHeight="1">
      <c r="A33" s="2">
        <f>A28*(A29+1)</f>
        <v>0</v>
      </c>
      <c r="B33" s="160"/>
      <c r="C33" s="160"/>
      <c r="D33" s="160"/>
      <c r="E33" s="2" t="str">
        <f>CONCATENATE(B33+MID(C33,1,1),MID(C33,2,1))</f>
        <v>0</v>
      </c>
      <c r="F33" s="75">
        <f>N10-1</f>
        <v>3</v>
      </c>
      <c r="G33" s="75">
        <f>F33+1</f>
        <v>4</v>
      </c>
      <c r="H33" s="146">
        <f>P10</f>
        <v>6</v>
      </c>
      <c r="I33" s="3"/>
      <c r="J33" s="3"/>
      <c r="K33" s="161"/>
      <c r="L33" s="146"/>
      <c r="M33" s="146" t="str">
        <f>T10</f>
        <v/>
      </c>
      <c r="N33" s="38"/>
      <c r="W33" s="151"/>
      <c r="X33" s="151"/>
    </row>
    <row r="34" ht="15.75" customHeight="1">
      <c r="A34" s="2">
        <f>A28*(A29+2)</f>
        <v>0</v>
      </c>
      <c r="B34" s="160" t="str">
        <f>concatenate(right(A34,1), left(A34,1))  </f>
        <v>00</v>
      </c>
      <c r="C34" s="160"/>
      <c r="D34" s="160"/>
      <c r="E34" s="162" t="s">
        <v>36</v>
      </c>
      <c r="F34" s="89">
        <f>F23-1</f>
        <v>-2</v>
      </c>
      <c r="G34" s="89">
        <f t="shared" ref="G34:H34" si="10">G23</f>
        <v>-2</v>
      </c>
      <c r="H34" s="89" t="str">
        <f t="shared" si="10"/>
        <v/>
      </c>
      <c r="I34" s="44" t="str">
        <f t="shared" ref="I34:I36" si="11">CONCATENATE(F34,G34,H34)</f>
        <v>-2-2</v>
      </c>
      <c r="J34" s="44"/>
      <c r="K34" s="164" t="s">
        <v>37</v>
      </c>
      <c r="L34" s="38"/>
      <c r="M34" s="38"/>
      <c r="N34" s="38"/>
      <c r="W34" s="151"/>
    </row>
    <row r="35" ht="15.75" customHeight="1">
      <c r="A35" s="2">
        <f>A28*(A29-1)</f>
        <v>0</v>
      </c>
      <c r="B35" s="165"/>
      <c r="C35" s="165"/>
      <c r="D35" s="165"/>
      <c r="E35" s="166" t="s">
        <v>39</v>
      </c>
      <c r="F35" s="14">
        <f>G23</f>
        <v>-2</v>
      </c>
      <c r="G35" s="14">
        <f>F28</f>
        <v>0</v>
      </c>
      <c r="H35" s="14">
        <f>G24</f>
        <v>0</v>
      </c>
      <c r="I35" s="125" t="str">
        <f t="shared" si="11"/>
        <v>-200</v>
      </c>
      <c r="J35" s="125"/>
      <c r="K35" s="169" t="s">
        <v>41</v>
      </c>
      <c r="L35" s="38"/>
      <c r="M35" s="38"/>
      <c r="N35" s="38"/>
      <c r="T35" s="151"/>
      <c r="U35" s="151"/>
      <c r="V35" s="151"/>
      <c r="W35" s="151"/>
    </row>
    <row r="36" ht="15.75" customHeight="1">
      <c r="A36" s="2">
        <f>A28*(A29-2)</f>
        <v>0</v>
      </c>
      <c r="B36" s="170" t="str">
        <f>LEFT(A36,2)</f>
        <v>0</v>
      </c>
      <c r="C36" s="170"/>
      <c r="D36" s="170"/>
      <c r="E36" s="168"/>
      <c r="F36" s="171"/>
      <c r="G36" s="171"/>
      <c r="H36" s="171"/>
      <c r="I36" s="125" t="str">
        <f t="shared" si="11"/>
        <v/>
      </c>
      <c r="J36" s="125"/>
      <c r="K36" s="172" t="s">
        <v>42</v>
      </c>
      <c r="L36" s="38"/>
      <c r="M36" s="38"/>
      <c r="N36" s="38"/>
      <c r="O36" s="2">
        <v>813.0</v>
      </c>
      <c r="V36" s="155"/>
      <c r="W36" s="155"/>
    </row>
    <row r="37" ht="15.75" customHeight="1">
      <c r="B37" s="170"/>
      <c r="C37" s="170"/>
      <c r="D37" s="170"/>
      <c r="E37" s="173" t="s">
        <v>43</v>
      </c>
      <c r="F37" s="146">
        <f>2</f>
        <v>2</v>
      </c>
      <c r="G37" s="146">
        <f t="shared" ref="G37:H37" si="12">F25+1</f>
        <v>2</v>
      </c>
      <c r="H37" s="146">
        <f t="shared" si="12"/>
        <v>2</v>
      </c>
      <c r="I37" s="174"/>
      <c r="J37" s="174"/>
      <c r="K37" s="175" t="s">
        <v>44</v>
      </c>
      <c r="L37" s="38">
        <f>54-12</f>
        <v>42</v>
      </c>
      <c r="M37" s="132"/>
      <c r="N37" s="132"/>
      <c r="O37" s="2">
        <v>904.0</v>
      </c>
      <c r="R37" s="144"/>
    </row>
    <row r="38" ht="15.75" customHeight="1">
      <c r="B38" s="170"/>
      <c r="C38" s="170"/>
      <c r="D38" s="170"/>
      <c r="E38" s="168"/>
      <c r="F38" s="31" t="str">
        <f>E26</f>
        <v/>
      </c>
      <c r="G38" s="177" t="str">
        <f>E25</f>
        <v/>
      </c>
      <c r="H38" s="177" t="str">
        <f>E24</f>
        <v>check this option for middle digit</v>
      </c>
      <c r="I38" s="178" t="str">
        <f t="shared" ref="I38:I39" si="13">CONCATENATE(F38,G38,H38)</f>
        <v>check this option for middle digit</v>
      </c>
      <c r="J38" s="178"/>
      <c r="K38" s="179" t="s">
        <v>45</v>
      </c>
      <c r="L38" s="180"/>
      <c r="M38" s="181"/>
      <c r="N38" s="181"/>
      <c r="V38" s="11"/>
    </row>
    <row r="39" ht="15.75" customHeight="1">
      <c r="B39" s="182"/>
      <c r="C39" s="168"/>
      <c r="D39" s="168"/>
      <c r="E39" s="168"/>
      <c r="F39" s="146" t="str">
        <f>H38</f>
        <v>check this option for middle digit</v>
      </c>
      <c r="G39" s="183" t="str">
        <f>G38</f>
        <v/>
      </c>
      <c r="H39" s="183" t="str">
        <f>F38</f>
        <v/>
      </c>
      <c r="I39" s="3" t="str">
        <f t="shared" si="13"/>
        <v>check this option for middle digit</v>
      </c>
      <c r="J39" s="3"/>
      <c r="K39" s="184"/>
      <c r="L39" s="180"/>
      <c r="M39" s="180"/>
      <c r="N39" s="180"/>
      <c r="O39" s="180"/>
      <c r="P39" s="180"/>
      <c r="Q39" s="180"/>
      <c r="R39" s="180"/>
    </row>
    <row r="40" ht="15.75" customHeight="1">
      <c r="B40" s="168"/>
      <c r="C40" s="168"/>
      <c r="D40" s="168"/>
      <c r="E40" s="168"/>
      <c r="F40" s="146" t="str">
        <f>F39</f>
        <v>check this option for middle digit</v>
      </c>
      <c r="G40" s="183" t="str">
        <f>F40-G39</f>
        <v>#VALUE!</v>
      </c>
      <c r="H40" s="183">
        <f>H39-H39</f>
        <v>0</v>
      </c>
      <c r="J40" s="152"/>
      <c r="K40" s="184"/>
      <c r="L40" s="185"/>
      <c r="M40" s="180"/>
      <c r="N40" s="180"/>
    </row>
    <row r="41" ht="15.75" customHeight="1">
      <c r="B41" s="168"/>
      <c r="C41" s="168"/>
      <c r="D41" s="168"/>
      <c r="E41" s="168"/>
      <c r="F41" s="21" t="str">
        <f>E30</f>
        <v/>
      </c>
      <c r="G41" s="187" t="str">
        <f>E32</f>
        <v>check this color for first digit or last digit</v>
      </c>
      <c r="H41" s="187" t="str">
        <f>E31</f>
        <v>check this color for first digit or last digit</v>
      </c>
      <c r="I41" s="188"/>
      <c r="J41" s="189"/>
      <c r="K41" s="134" t="str">
        <f>CONCATENATE(A1+1,B1-1,C3-1)</f>
        <v>1-10</v>
      </c>
      <c r="L41" s="190" t="str">
        <f>CONCATENATE(MID(K41,1,1),MID(K41,2,1),MID(K41,4,1))</f>
        <v>1-0</v>
      </c>
      <c r="M41" s="180"/>
      <c r="N41" s="180"/>
      <c r="O41" s="180"/>
      <c r="P41" s="180"/>
      <c r="Q41" s="180"/>
      <c r="R41" s="180"/>
    </row>
    <row r="42" ht="15.75" customHeight="1">
      <c r="B42" s="168"/>
      <c r="C42" s="168"/>
      <c r="D42" s="168"/>
      <c r="E42" s="168"/>
      <c r="F42" s="2">
        <v>1.0</v>
      </c>
      <c r="G42" s="191"/>
      <c r="H42" s="191"/>
      <c r="I42" s="188"/>
      <c r="J42" s="189"/>
      <c r="K42" s="184" t="s">
        <v>47</v>
      </c>
      <c r="L42" s="190"/>
      <c r="M42" s="180"/>
      <c r="N42" s="180"/>
      <c r="O42" s="180"/>
      <c r="P42" s="180"/>
      <c r="Q42" s="180"/>
      <c r="R42" s="180"/>
    </row>
    <row r="43" ht="15.75" customHeight="1">
      <c r="B43" s="170"/>
      <c r="C43" s="170"/>
      <c r="D43" s="170"/>
      <c r="E43" s="168"/>
      <c r="F43" s="2">
        <f>G35</f>
        <v>0</v>
      </c>
      <c r="G43" s="191">
        <f>F35</f>
        <v>-2</v>
      </c>
      <c r="H43" s="191">
        <f>H35</f>
        <v>0</v>
      </c>
      <c r="I43" s="147"/>
      <c r="J43" s="152"/>
      <c r="K43" s="193" t="s">
        <v>48</v>
      </c>
      <c r="L43" s="194">
        <v>787.0</v>
      </c>
      <c r="M43" s="180"/>
      <c r="N43" s="180"/>
      <c r="O43" s="180"/>
      <c r="P43" s="180"/>
      <c r="Q43" s="180"/>
      <c r="R43" s="180"/>
    </row>
    <row r="44" ht="15.75" customHeight="1">
      <c r="A44" s="195"/>
      <c r="B44" s="168"/>
      <c r="C44" s="168"/>
      <c r="D44" s="168"/>
      <c r="E44" s="168"/>
      <c r="G44" s="191"/>
      <c r="H44" s="191"/>
      <c r="I44" s="188"/>
      <c r="J44" s="189"/>
      <c r="K44" s="184"/>
      <c r="L44" s="190"/>
      <c r="M44" s="180"/>
      <c r="N44" s="180"/>
      <c r="O44" s="180"/>
      <c r="P44" s="180"/>
      <c r="Q44" s="180"/>
      <c r="R44" s="180"/>
    </row>
    <row r="45" ht="15.75" customHeight="1">
      <c r="B45" s="168"/>
      <c r="C45" s="168"/>
      <c r="D45" s="168"/>
      <c r="E45" s="168">
        <f>52</f>
        <v>52</v>
      </c>
      <c r="F45" s="196" t="str">
        <f>F40</f>
        <v>check this option for middle digit</v>
      </c>
      <c r="G45" s="197" t="str">
        <f>G40+1</f>
        <v>#VALUE!</v>
      </c>
      <c r="H45" s="197" t="str">
        <f>H39/D37</f>
        <v>#DIV/0!</v>
      </c>
      <c r="I45" s="188"/>
      <c r="J45" s="189"/>
      <c r="K45" s="184"/>
      <c r="L45" s="190"/>
      <c r="M45" s="180"/>
      <c r="N45" s="180"/>
      <c r="O45" s="180"/>
      <c r="P45" s="180"/>
      <c r="Q45" s="180"/>
      <c r="R45" s="180"/>
    </row>
    <row r="46" ht="15.75" customHeight="1">
      <c r="B46" s="168"/>
      <c r="C46" s="168"/>
      <c r="D46" s="168"/>
      <c r="E46" s="168"/>
      <c r="G46" s="191"/>
      <c r="H46" s="191"/>
      <c r="I46" s="188"/>
      <c r="J46" s="189"/>
      <c r="K46" s="184"/>
      <c r="L46" s="190"/>
      <c r="M46" s="132"/>
      <c r="N46" s="180"/>
      <c r="O46" s="180"/>
      <c r="P46" s="180"/>
      <c r="Q46" s="180"/>
      <c r="R46" s="180"/>
    </row>
    <row r="47" ht="15.75" customHeight="1">
      <c r="B47" s="168"/>
      <c r="C47" s="168"/>
      <c r="D47" s="168"/>
      <c r="E47" s="168"/>
      <c r="F47" s="2">
        <v>995.0</v>
      </c>
      <c r="G47" s="191"/>
      <c r="H47" s="191"/>
      <c r="I47" s="126"/>
      <c r="J47" s="126"/>
      <c r="K47" s="184"/>
      <c r="L47" s="190"/>
      <c r="M47" s="132"/>
      <c r="N47" s="180"/>
      <c r="O47" s="180"/>
      <c r="P47" s="180"/>
      <c r="Q47" s="180"/>
      <c r="R47" s="180"/>
    </row>
    <row r="48" ht="15.75" customHeight="1">
      <c r="B48" s="168"/>
      <c r="C48" s="168"/>
      <c r="D48" s="168"/>
      <c r="E48" s="199">
        <v>272.0</v>
      </c>
      <c r="G48" s="191"/>
      <c r="H48" s="191"/>
      <c r="I48" s="126">
        <v>914.0</v>
      </c>
      <c r="J48" s="126"/>
      <c r="K48" s="184"/>
      <c r="L48" s="191">
        <v>132.0</v>
      </c>
      <c r="M48" s="132"/>
      <c r="N48" s="180"/>
      <c r="O48" s="132"/>
      <c r="P48" s="132"/>
      <c r="Q48" s="132"/>
      <c r="R48" s="132"/>
      <c r="U48" s="10"/>
      <c r="V48" s="10"/>
      <c r="W48" s="10"/>
    </row>
    <row r="49" ht="15.75" customHeight="1">
      <c r="B49" s="168"/>
      <c r="C49" s="168"/>
      <c r="D49" s="168"/>
      <c r="E49" s="168"/>
      <c r="G49" s="185"/>
      <c r="H49" s="185"/>
      <c r="I49" s="191"/>
      <c r="J49" s="191"/>
      <c r="K49" s="200"/>
      <c r="L49" s="190">
        <v>163.0</v>
      </c>
      <c r="M49" s="185"/>
      <c r="N49" s="180"/>
      <c r="O49" s="185"/>
      <c r="P49" s="185"/>
      <c r="Q49" s="185"/>
      <c r="R49" s="185"/>
    </row>
    <row r="50" ht="15.75" customHeight="1">
      <c r="B50" s="168"/>
      <c r="C50" s="168"/>
      <c r="D50" s="168"/>
      <c r="E50" s="168"/>
      <c r="F50" s="2">
        <v>94.0</v>
      </c>
      <c r="G50" s="191">
        <v>49.0</v>
      </c>
      <c r="H50" s="191">
        <v>13.0</v>
      </c>
      <c r="I50" s="188">
        <v>68.0</v>
      </c>
      <c r="J50" s="188"/>
      <c r="K50" s="200"/>
      <c r="L50" s="190"/>
      <c r="M50" s="185"/>
      <c r="N50" s="180"/>
      <c r="O50" s="185"/>
      <c r="P50" s="185"/>
      <c r="Q50" s="185"/>
      <c r="R50" s="185"/>
    </row>
    <row r="51" ht="15.75" customHeight="1">
      <c r="B51" s="168"/>
      <c r="C51" s="168"/>
      <c r="D51" s="168"/>
      <c r="E51" s="168"/>
      <c r="G51" s="191"/>
      <c r="H51" s="191"/>
      <c r="I51" s="188"/>
      <c r="J51" s="188"/>
      <c r="K51" s="200"/>
      <c r="L51" s="191"/>
      <c r="M51" s="185"/>
      <c r="N51" s="180"/>
      <c r="O51" s="185"/>
      <c r="P51" s="185"/>
      <c r="Q51" s="185"/>
      <c r="R51" s="185"/>
    </row>
    <row r="52" ht="15.75" customHeight="1">
      <c r="B52" s="168"/>
      <c r="C52" s="168"/>
      <c r="D52" s="168"/>
      <c r="E52" s="168"/>
      <c r="F52" s="2">
        <v>42.0</v>
      </c>
      <c r="G52" s="191">
        <v>82.0</v>
      </c>
      <c r="H52" s="191">
        <v>9.0</v>
      </c>
      <c r="I52" s="188">
        <v>57.0</v>
      </c>
      <c r="J52" s="188"/>
      <c r="K52" s="200"/>
      <c r="L52" s="191"/>
      <c r="M52" s="185"/>
      <c r="N52" s="180"/>
      <c r="O52" s="185"/>
      <c r="P52" s="185"/>
      <c r="Q52" s="185"/>
      <c r="R52" s="185"/>
    </row>
    <row r="53" ht="15.75" customHeight="1">
      <c r="B53" s="168"/>
      <c r="C53" s="168"/>
      <c r="D53" s="168"/>
      <c r="E53" s="168"/>
      <c r="G53" s="191"/>
      <c r="H53" s="191"/>
      <c r="I53" s="191"/>
      <c r="J53" s="191"/>
      <c r="K53" s="200"/>
      <c r="L53" s="191"/>
      <c r="N53" s="180"/>
    </row>
    <row r="54" ht="15.75" customHeight="1">
      <c r="B54" s="201"/>
      <c r="C54" s="201"/>
      <c r="D54" s="201"/>
      <c r="E54" s="168"/>
      <c r="G54" s="191"/>
      <c r="H54" s="191"/>
      <c r="K54" s="200"/>
      <c r="L54" s="191"/>
      <c r="N54" s="180"/>
      <c r="Q54" s="2"/>
    </row>
    <row r="55" ht="15.75" customHeight="1">
      <c r="B55" s="192"/>
      <c r="C55" s="192"/>
      <c r="D55" s="192"/>
      <c r="G55" s="191">
        <v>7452.0</v>
      </c>
      <c r="H55" s="191"/>
      <c r="K55" s="200"/>
      <c r="L55" s="191"/>
      <c r="N55" s="180"/>
    </row>
    <row r="56" ht="15.75" customHeight="1">
      <c r="B56" s="192"/>
      <c r="C56" s="192"/>
      <c r="D56" s="192"/>
      <c r="I56" s="2"/>
      <c r="J56" s="2"/>
      <c r="K56" s="169"/>
      <c r="N56" s="132"/>
    </row>
    <row r="57" ht="15.75" customHeight="1">
      <c r="G57" s="191"/>
      <c r="H57" s="2">
        <v>613.0</v>
      </c>
      <c r="K57" s="169"/>
    </row>
    <row r="58" ht="15.75" customHeight="1">
      <c r="G58" s="191"/>
      <c r="K58" s="169"/>
    </row>
    <row r="59" ht="15.75" customHeight="1">
      <c r="K59" s="169"/>
    </row>
    <row r="60" ht="15.75" customHeight="1">
      <c r="K60" s="169"/>
    </row>
    <row r="61" ht="15.75" customHeight="1">
      <c r="A61" s="2">
        <f t="shared" ref="A61:F61" si="14">A62+1</f>
        <v>3</v>
      </c>
      <c r="B61" s="2">
        <f t="shared" si="14"/>
        <v>4</v>
      </c>
      <c r="C61" s="2">
        <f t="shared" si="14"/>
        <v>5</v>
      </c>
      <c r="D61" s="2">
        <f t="shared" si="14"/>
        <v>4</v>
      </c>
      <c r="E61" s="2">
        <f t="shared" si="14"/>
        <v>6</v>
      </c>
      <c r="F61" s="2">
        <f t="shared" si="14"/>
        <v>7</v>
      </c>
      <c r="K61" s="169"/>
    </row>
    <row r="62" ht="15.75" customHeight="1">
      <c r="A62" s="2">
        <v>2.0</v>
      </c>
      <c r="B62" s="2">
        <v>3.0</v>
      </c>
      <c r="C62" s="2">
        <v>4.0</v>
      </c>
      <c r="D62" s="2">
        <v>3.0</v>
      </c>
      <c r="E62" s="2">
        <v>5.0</v>
      </c>
      <c r="F62" s="2">
        <v>6.0</v>
      </c>
      <c r="K62" s="169"/>
    </row>
    <row r="63" ht="15.75" customHeight="1">
      <c r="A63" s="2">
        <f t="shared" ref="A63:C63" si="15">A62-1</f>
        <v>1</v>
      </c>
      <c r="B63" s="2">
        <f t="shared" si="15"/>
        <v>2</v>
      </c>
      <c r="C63" s="2">
        <f t="shared" si="15"/>
        <v>3</v>
      </c>
      <c r="D63" s="2">
        <f t="shared" ref="D63:F63" si="16">D64+1</f>
        <v>1</v>
      </c>
      <c r="E63" s="2">
        <f t="shared" si="16"/>
        <v>1</v>
      </c>
      <c r="F63" s="2">
        <f t="shared" si="16"/>
        <v>1</v>
      </c>
      <c r="K63" s="169"/>
    </row>
    <row r="64" ht="15.75" customHeight="1">
      <c r="K64" s="169"/>
    </row>
    <row r="65" ht="15.75" customHeight="1">
      <c r="K65" s="169"/>
    </row>
    <row r="66" ht="15.75" customHeight="1">
      <c r="K66" s="169"/>
    </row>
    <row r="67" ht="15.75" customHeight="1">
      <c r="K67" s="169"/>
    </row>
    <row r="68" ht="15.75" customHeight="1">
      <c r="K68" s="169"/>
    </row>
    <row r="69" ht="15.75" customHeight="1">
      <c r="K69" s="169"/>
    </row>
    <row r="70" ht="15.75" customHeight="1">
      <c r="K70" s="169"/>
    </row>
    <row r="71" ht="15.75" customHeight="1">
      <c r="K71" s="169"/>
    </row>
    <row r="72" ht="15.75" customHeight="1">
      <c r="K72" s="169"/>
    </row>
    <row r="73" ht="15.75" customHeight="1">
      <c r="I73" s="2">
        <v>84.0</v>
      </c>
      <c r="J73" s="2"/>
      <c r="K73" s="169"/>
    </row>
    <row r="74" ht="15.75" customHeight="1">
      <c r="K74" s="169"/>
    </row>
    <row r="75" ht="15.75" customHeight="1">
      <c r="K75" s="169"/>
    </row>
    <row r="76" ht="15.75" customHeight="1">
      <c r="F76" s="2">
        <v>4.0</v>
      </c>
      <c r="G76" s="2">
        <v>6.0</v>
      </c>
      <c r="K76" s="169"/>
    </row>
    <row r="77" ht="15.75" customHeight="1">
      <c r="K77" s="169"/>
    </row>
    <row r="78" ht="15.75" customHeight="1">
      <c r="F78" s="2">
        <f>F76-2</f>
        <v>2</v>
      </c>
      <c r="G78" s="2">
        <f>G76-1</f>
        <v>5</v>
      </c>
      <c r="K78" s="169"/>
    </row>
    <row r="79" ht="15.75" customHeight="1">
      <c r="K79" s="169"/>
    </row>
    <row r="80" ht="15.75" customHeight="1">
      <c r="F80" s="2">
        <f>F76-1</f>
        <v>3</v>
      </c>
      <c r="G80" s="2">
        <f>G76-2</f>
        <v>4</v>
      </c>
      <c r="K80" s="169"/>
    </row>
    <row r="81" ht="15.75" customHeight="1">
      <c r="K81" s="169"/>
    </row>
    <row r="82" ht="15.75" customHeight="1">
      <c r="F82" s="2">
        <f t="shared" ref="F82:G82" si="17">F76-1</f>
        <v>3</v>
      </c>
      <c r="G82" s="2">
        <f t="shared" si="17"/>
        <v>5</v>
      </c>
      <c r="K82" s="169"/>
    </row>
    <row r="83" ht="15.75" customHeight="1">
      <c r="K83" s="169"/>
    </row>
    <row r="84" ht="15.75" customHeight="1">
      <c r="F84" s="2">
        <f t="shared" ref="F84:G84" si="18">F76+1</f>
        <v>5</v>
      </c>
      <c r="G84" s="2">
        <f t="shared" si="18"/>
        <v>7</v>
      </c>
      <c r="K84" s="169"/>
    </row>
    <row r="85" ht="15.75" customHeight="1">
      <c r="K85" s="169"/>
    </row>
    <row r="86" ht="15.75" customHeight="1">
      <c r="K86" s="169"/>
    </row>
    <row r="87" ht="15.75" customHeight="1">
      <c r="F87" s="2">
        <f>F76-2</f>
        <v>2</v>
      </c>
      <c r="G87" s="2">
        <f>G76-6</f>
        <v>0</v>
      </c>
      <c r="K87" s="169"/>
    </row>
    <row r="88" ht="15.75" customHeight="1">
      <c r="K88" s="169"/>
    </row>
    <row r="89" ht="15.75" customHeight="1">
      <c r="F89" s="2">
        <f>F76-1</f>
        <v>3</v>
      </c>
      <c r="G89" s="2">
        <f>G76-6</f>
        <v>0</v>
      </c>
      <c r="K89" s="169"/>
    </row>
    <row r="90" ht="15.75" customHeight="1">
      <c r="K90" s="169"/>
    </row>
    <row r="91" ht="15.75" customHeight="1">
      <c r="K91" s="169"/>
    </row>
    <row r="92" ht="15.75" customHeight="1">
      <c r="K92" s="169"/>
    </row>
    <row r="93" ht="15.75" customHeight="1">
      <c r="K93" s="169"/>
    </row>
    <row r="94" ht="15.75" customHeight="1">
      <c r="K94" s="169"/>
    </row>
    <row r="95" ht="15.75" customHeight="1">
      <c r="K95" s="169"/>
    </row>
    <row r="96" ht="15.75" customHeight="1">
      <c r="K96" s="169"/>
    </row>
    <row r="97" ht="15.75" customHeight="1">
      <c r="K97" s="169"/>
    </row>
    <row r="98" ht="15.75" customHeight="1">
      <c r="K98" s="169"/>
    </row>
    <row r="99" ht="15.75" customHeight="1">
      <c r="K99" s="169"/>
    </row>
    <row r="100" ht="15.75" customHeight="1">
      <c r="K100" s="169"/>
    </row>
    <row r="101" ht="15.75" customHeight="1">
      <c r="K101" s="169"/>
    </row>
    <row r="102" ht="15.75" customHeight="1">
      <c r="K102" s="169"/>
    </row>
    <row r="103" ht="15.75" customHeight="1">
      <c r="K103" s="169"/>
    </row>
    <row r="104" ht="15.75" customHeight="1">
      <c r="K104" s="169"/>
    </row>
    <row r="105" ht="15.75" customHeight="1">
      <c r="K105" s="169"/>
    </row>
    <row r="106" ht="15.75" customHeight="1">
      <c r="K106" s="169"/>
    </row>
    <row r="107" ht="15.75" customHeight="1">
      <c r="K107" s="169"/>
    </row>
    <row r="108" ht="15.75" customHeight="1">
      <c r="K108" s="169"/>
    </row>
    <row r="109" ht="15.75" customHeight="1">
      <c r="K109" s="169"/>
    </row>
    <row r="110" ht="15.75" customHeight="1">
      <c r="K110" s="169"/>
    </row>
    <row r="111" ht="15.75" customHeight="1">
      <c r="K111" s="169"/>
    </row>
    <row r="112" ht="15.75" customHeight="1">
      <c r="K112" s="169"/>
    </row>
    <row r="113" ht="15.75" customHeight="1">
      <c r="K113" s="169"/>
    </row>
    <row r="114" ht="15.75" customHeight="1">
      <c r="K114" s="169"/>
    </row>
    <row r="115" ht="15.75" customHeight="1">
      <c r="K115" s="169"/>
    </row>
    <row r="116" ht="15.75" customHeight="1">
      <c r="K116" s="169"/>
    </row>
    <row r="117" ht="15.75" customHeight="1">
      <c r="K117" s="169"/>
    </row>
    <row r="118" ht="15.75" customHeight="1">
      <c r="K118" s="169"/>
    </row>
    <row r="119" ht="15.75" customHeight="1">
      <c r="K119" s="169"/>
    </row>
    <row r="120" ht="15.75" customHeight="1">
      <c r="K120" s="169"/>
    </row>
    <row r="121" ht="15.75" customHeight="1">
      <c r="K121" s="169"/>
    </row>
    <row r="122" ht="15.75" customHeight="1">
      <c r="K122" s="169"/>
    </row>
    <row r="123" ht="15.75" customHeight="1">
      <c r="K123" s="169"/>
    </row>
    <row r="124" ht="15.75" customHeight="1">
      <c r="K124" s="169"/>
    </row>
    <row r="125" ht="15.75" customHeight="1">
      <c r="K125" s="169"/>
    </row>
    <row r="126" ht="15.75" customHeight="1">
      <c r="K126" s="169"/>
    </row>
    <row r="127" ht="15.75" customHeight="1">
      <c r="K127" s="169"/>
    </row>
    <row r="128" ht="15.75" customHeight="1">
      <c r="K128" s="169"/>
    </row>
    <row r="129" ht="15.75" customHeight="1">
      <c r="K129" s="169"/>
    </row>
    <row r="130" ht="15.75" customHeight="1">
      <c r="K130" s="169"/>
    </row>
    <row r="131" ht="15.75" customHeight="1">
      <c r="K131" s="169"/>
    </row>
    <row r="132" ht="15.75" customHeight="1">
      <c r="K132" s="169"/>
    </row>
    <row r="133" ht="15.75" customHeight="1">
      <c r="K133" s="169"/>
    </row>
    <row r="134" ht="15.75" customHeight="1">
      <c r="K134" s="169"/>
    </row>
    <row r="135" ht="15.75" customHeight="1">
      <c r="K135" s="169"/>
    </row>
    <row r="136" ht="15.75" customHeight="1">
      <c r="K136" s="169"/>
    </row>
    <row r="137" ht="15.75" customHeight="1">
      <c r="K137" s="169"/>
    </row>
    <row r="138" ht="15.75" customHeight="1">
      <c r="K138" s="169"/>
    </row>
    <row r="139" ht="15.75" customHeight="1">
      <c r="K139" s="169"/>
    </row>
    <row r="140" ht="15.75" customHeight="1">
      <c r="K140" s="169"/>
    </row>
    <row r="141" ht="15.75" customHeight="1">
      <c r="K141" s="169"/>
    </row>
    <row r="142" ht="15.75" customHeight="1">
      <c r="K142" s="169"/>
    </row>
    <row r="143" ht="15.75" customHeight="1">
      <c r="K143" s="169"/>
    </row>
    <row r="144" ht="15.75" customHeight="1">
      <c r="K144" s="169"/>
    </row>
    <row r="145" ht="15.75" customHeight="1">
      <c r="K145" s="169"/>
    </row>
    <row r="146" ht="15.75" customHeight="1">
      <c r="K146" s="169"/>
    </row>
    <row r="147" ht="15.75" customHeight="1">
      <c r="K147" s="169"/>
    </row>
    <row r="148" ht="15.75" customHeight="1">
      <c r="K148" s="169"/>
    </row>
    <row r="149" ht="15.75" customHeight="1">
      <c r="K149" s="169"/>
    </row>
    <row r="150" ht="15.75" customHeight="1">
      <c r="K150" s="169"/>
    </row>
    <row r="151" ht="15.75" customHeight="1">
      <c r="K151" s="169"/>
    </row>
    <row r="152" ht="15.75" customHeight="1">
      <c r="K152" s="169"/>
    </row>
    <row r="153" ht="15.75" customHeight="1">
      <c r="K153" s="169"/>
    </row>
    <row r="154" ht="15.75" customHeight="1">
      <c r="K154" s="169"/>
    </row>
    <row r="155" ht="15.75" customHeight="1">
      <c r="K155" s="169"/>
    </row>
    <row r="156" ht="15.75" customHeight="1">
      <c r="K156" s="169"/>
    </row>
    <row r="157" ht="15.75" customHeight="1">
      <c r="K157" s="169"/>
    </row>
    <row r="158" ht="15.75" customHeight="1">
      <c r="K158" s="169"/>
    </row>
    <row r="159" ht="15.75" customHeight="1">
      <c r="K159" s="169"/>
    </row>
    <row r="160" ht="15.75" customHeight="1">
      <c r="K160" s="169"/>
    </row>
    <row r="161" ht="15.75" customHeight="1">
      <c r="K161" s="169"/>
    </row>
    <row r="162" ht="15.75" customHeight="1">
      <c r="K162" s="169"/>
    </row>
    <row r="163" ht="15.75" customHeight="1">
      <c r="K163" s="169"/>
    </row>
    <row r="164" ht="15.75" customHeight="1">
      <c r="K164" s="169"/>
    </row>
    <row r="165" ht="15.75" customHeight="1">
      <c r="K165" s="169"/>
    </row>
    <row r="166" ht="15.75" customHeight="1">
      <c r="K166" s="169"/>
    </row>
    <row r="167" ht="15.75" customHeight="1">
      <c r="K167" s="169"/>
    </row>
    <row r="168" ht="15.75" customHeight="1">
      <c r="K168" s="169"/>
    </row>
    <row r="169" ht="15.75" customHeight="1">
      <c r="K169" s="169"/>
    </row>
    <row r="170" ht="15.75" customHeight="1">
      <c r="K170" s="169"/>
    </row>
    <row r="171" ht="15.75" customHeight="1">
      <c r="K171" s="169"/>
    </row>
    <row r="172" ht="15.75" customHeight="1">
      <c r="K172" s="169"/>
    </row>
    <row r="173" ht="15.75" customHeight="1">
      <c r="K173" s="169"/>
    </row>
    <row r="174" ht="15.75" customHeight="1">
      <c r="K174" s="169"/>
    </row>
    <row r="175" ht="15.75" customHeight="1">
      <c r="K175" s="169"/>
    </row>
    <row r="176" ht="15.75" customHeight="1">
      <c r="K176" s="169"/>
    </row>
    <row r="177" ht="15.75" customHeight="1">
      <c r="K177" s="169"/>
    </row>
    <row r="178" ht="15.75" customHeight="1">
      <c r="K178" s="169"/>
    </row>
    <row r="179" ht="15.75" customHeight="1">
      <c r="K179" s="169"/>
    </row>
    <row r="180" ht="15.75" customHeight="1">
      <c r="K180" s="169"/>
    </row>
    <row r="181" ht="15.75" customHeight="1">
      <c r="K181" s="169"/>
    </row>
    <row r="182" ht="15.75" customHeight="1">
      <c r="K182" s="169"/>
    </row>
    <row r="183" ht="15.75" customHeight="1">
      <c r="K183" s="169"/>
    </row>
    <row r="184" ht="15.75" customHeight="1">
      <c r="K184" s="169"/>
    </row>
    <row r="185" ht="15.75" customHeight="1">
      <c r="K185" s="169"/>
    </row>
    <row r="186" ht="15.75" customHeight="1">
      <c r="K186" s="169"/>
    </row>
    <row r="187" ht="15.75" customHeight="1">
      <c r="K187" s="169"/>
    </row>
    <row r="188" ht="15.75" customHeight="1">
      <c r="K188" s="169"/>
    </row>
    <row r="189" ht="15.75" customHeight="1">
      <c r="K189" s="169"/>
    </row>
    <row r="190" ht="15.75" customHeight="1">
      <c r="K190" s="169"/>
    </row>
    <row r="191" ht="15.75" customHeight="1">
      <c r="K191" s="169"/>
    </row>
    <row r="192" ht="15.75" customHeight="1">
      <c r="K192" s="169"/>
    </row>
    <row r="193" ht="15.75" customHeight="1">
      <c r="K193" s="169"/>
    </row>
    <row r="194" ht="15.75" customHeight="1">
      <c r="K194" s="169"/>
    </row>
    <row r="195" ht="15.75" customHeight="1">
      <c r="K195" s="169"/>
    </row>
    <row r="196" ht="15.75" customHeight="1">
      <c r="K196" s="169"/>
    </row>
    <row r="197" ht="15.75" customHeight="1">
      <c r="K197" s="169"/>
    </row>
    <row r="198" ht="15.75" customHeight="1">
      <c r="K198" s="169"/>
    </row>
    <row r="199" ht="15.75" customHeight="1">
      <c r="K199" s="169"/>
    </row>
    <row r="200" ht="15.75" customHeight="1">
      <c r="K200" s="169"/>
    </row>
    <row r="201" ht="15.75" customHeight="1">
      <c r="K201" s="169"/>
    </row>
    <row r="202" ht="15.75" customHeight="1">
      <c r="K202" s="169"/>
    </row>
    <row r="203" ht="15.75" customHeight="1">
      <c r="K203" s="169"/>
    </row>
    <row r="204" ht="15.75" customHeight="1">
      <c r="K204" s="169"/>
    </row>
    <row r="205" ht="15.75" customHeight="1">
      <c r="K205" s="169"/>
    </row>
    <row r="206" ht="15.75" customHeight="1">
      <c r="K206" s="169"/>
    </row>
    <row r="207" ht="15.75" customHeight="1">
      <c r="K207" s="169"/>
    </row>
    <row r="208" ht="15.75" customHeight="1">
      <c r="K208" s="169"/>
    </row>
    <row r="209" ht="15.75" customHeight="1">
      <c r="K209" s="169"/>
    </row>
    <row r="210" ht="15.75" customHeight="1">
      <c r="K210" s="169"/>
    </row>
    <row r="211" ht="15.75" customHeight="1">
      <c r="K211" s="169"/>
    </row>
    <row r="212" ht="15.75" customHeight="1">
      <c r="K212" s="169"/>
    </row>
    <row r="213" ht="15.75" customHeight="1">
      <c r="K213" s="169"/>
    </row>
    <row r="214" ht="15.75" customHeight="1">
      <c r="K214" s="169"/>
    </row>
    <row r="215" ht="15.75" customHeight="1">
      <c r="K215" s="169"/>
    </row>
    <row r="216" ht="15.75" customHeight="1">
      <c r="K216" s="169"/>
    </row>
    <row r="217" ht="15.75" customHeight="1">
      <c r="K217" s="169"/>
    </row>
    <row r="218" ht="15.75" customHeight="1">
      <c r="K218" s="169"/>
    </row>
    <row r="219" ht="15.75" customHeight="1">
      <c r="K219" s="169"/>
    </row>
    <row r="220" ht="15.75" customHeight="1">
      <c r="K220" s="169"/>
    </row>
    <row r="221" ht="15.75" customHeight="1">
      <c r="K221" s="169"/>
    </row>
    <row r="222" ht="15.75" customHeight="1">
      <c r="K222" s="169"/>
    </row>
    <row r="223" ht="15.75" customHeight="1">
      <c r="K223" s="169"/>
    </row>
    <row r="224" ht="15.75" customHeight="1">
      <c r="K224" s="169"/>
    </row>
    <row r="225" ht="15.75" customHeight="1">
      <c r="K225" s="169"/>
    </row>
    <row r="226" ht="15.75" customHeight="1">
      <c r="K226" s="169"/>
    </row>
    <row r="227" ht="15.75" customHeight="1">
      <c r="K227" s="169"/>
    </row>
    <row r="228" ht="15.75" customHeight="1">
      <c r="K228" s="169"/>
    </row>
    <row r="229" ht="15.75" customHeight="1">
      <c r="K229" s="169"/>
    </row>
    <row r="230" ht="15.75" customHeight="1">
      <c r="K230" s="169"/>
    </row>
    <row r="231" ht="15.75" customHeight="1">
      <c r="K231" s="169"/>
    </row>
    <row r="232" ht="15.75" customHeight="1">
      <c r="K232" s="169"/>
    </row>
    <row r="233" ht="15.75" customHeight="1">
      <c r="K233" s="169"/>
    </row>
    <row r="234" ht="15.75" customHeight="1">
      <c r="K234" s="169"/>
    </row>
    <row r="235" ht="15.75" customHeight="1">
      <c r="K235" s="169"/>
    </row>
    <row r="236" ht="15.75" customHeight="1">
      <c r="K236" s="169"/>
    </row>
    <row r="237" ht="15.75" customHeight="1">
      <c r="K237" s="169"/>
    </row>
    <row r="238" ht="15.75" customHeight="1">
      <c r="K238" s="169"/>
    </row>
    <row r="239" ht="15.75" customHeight="1">
      <c r="K239" s="169"/>
    </row>
    <row r="240" ht="15.75" customHeight="1">
      <c r="K240" s="169"/>
    </row>
    <row r="241" ht="15.75" customHeight="1">
      <c r="K241" s="169"/>
    </row>
    <row r="242" ht="15.75" customHeight="1">
      <c r="K242" s="169"/>
    </row>
    <row r="243" ht="15.75" customHeight="1">
      <c r="K243" s="169"/>
    </row>
    <row r="244" ht="15.75" customHeight="1">
      <c r="K244" s="169"/>
    </row>
    <row r="245" ht="15.75" customHeight="1">
      <c r="K245" s="169"/>
    </row>
    <row r="246" ht="15.75" customHeight="1">
      <c r="K246" s="169"/>
    </row>
    <row r="247" ht="15.75" customHeight="1">
      <c r="K247" s="169"/>
    </row>
    <row r="248" ht="15.75" customHeight="1">
      <c r="K248" s="169"/>
    </row>
    <row r="249" ht="15.75" customHeight="1">
      <c r="K249" s="169"/>
    </row>
    <row r="250" ht="15.75" customHeight="1">
      <c r="K250" s="169"/>
    </row>
    <row r="251" ht="15.75" customHeight="1">
      <c r="K251" s="169"/>
    </row>
    <row r="252" ht="15.75" customHeight="1">
      <c r="K252" s="169"/>
    </row>
    <row r="253" ht="15.75" customHeight="1">
      <c r="K253" s="169"/>
    </row>
    <row r="254" ht="15.75" customHeight="1">
      <c r="K254" s="169"/>
    </row>
    <row r="255" ht="15.75" customHeight="1">
      <c r="K255" s="169"/>
    </row>
    <row r="256" ht="15.75" customHeight="1">
      <c r="K256" s="169"/>
    </row>
    <row r="257" ht="15.75" customHeight="1">
      <c r="K257" s="169"/>
    </row>
    <row r="258" ht="15.75" customHeight="1">
      <c r="K258" s="169"/>
    </row>
    <row r="259" ht="15.75" customHeight="1">
      <c r="K259" s="169"/>
    </row>
    <row r="260" ht="15.75" customHeight="1">
      <c r="K260" s="169"/>
    </row>
    <row r="261" ht="15.75" customHeight="1">
      <c r="K261" s="169"/>
    </row>
    <row r="262" ht="15.75" customHeight="1">
      <c r="K262" s="169"/>
    </row>
    <row r="263" ht="15.75" customHeight="1">
      <c r="K263" s="169"/>
    </row>
    <row r="264" ht="15.75" customHeight="1">
      <c r="K264" s="169"/>
    </row>
    <row r="265" ht="15.75" customHeight="1">
      <c r="K265" s="169"/>
    </row>
    <row r="266" ht="15.75" customHeight="1">
      <c r="K266" s="169"/>
    </row>
    <row r="267" ht="15.75" customHeight="1">
      <c r="K267" s="169"/>
    </row>
    <row r="268" ht="15.75" customHeight="1">
      <c r="K268" s="169"/>
    </row>
    <row r="269" ht="15.75" customHeight="1">
      <c r="K269" s="169"/>
    </row>
    <row r="270" ht="15.75" customHeight="1">
      <c r="K270" s="169"/>
    </row>
    <row r="271" ht="15.75" customHeight="1">
      <c r="K271" s="169"/>
    </row>
    <row r="272" ht="15.75" customHeight="1">
      <c r="K272" s="169"/>
    </row>
    <row r="273" ht="15.75" customHeight="1">
      <c r="K273" s="169"/>
    </row>
    <row r="274" ht="15.75" customHeight="1">
      <c r="K274" s="169"/>
    </row>
    <row r="275" ht="15.75" customHeight="1">
      <c r="K275" s="169"/>
    </row>
    <row r="276" ht="15.75" customHeight="1">
      <c r="K276" s="169"/>
    </row>
    <row r="277" ht="15.75" customHeight="1">
      <c r="K277" s="169"/>
    </row>
    <row r="278" ht="15.75" customHeight="1">
      <c r="K278" s="169"/>
    </row>
    <row r="279" ht="15.75" customHeight="1">
      <c r="K279" s="169"/>
    </row>
    <row r="280" ht="15.75" customHeight="1">
      <c r="K280" s="169"/>
    </row>
    <row r="281" ht="15.75" customHeight="1">
      <c r="K281" s="169"/>
    </row>
    <row r="282" ht="15.75" customHeight="1">
      <c r="K282" s="169"/>
    </row>
    <row r="283" ht="15.75" customHeight="1">
      <c r="K283" s="169"/>
    </row>
    <row r="284" ht="15.75" customHeight="1">
      <c r="K284" s="169"/>
    </row>
    <row r="285" ht="15.75" customHeight="1">
      <c r="K285" s="169"/>
    </row>
    <row r="286" ht="15.75" customHeight="1">
      <c r="K286" s="169"/>
    </row>
    <row r="287" ht="15.75" customHeight="1">
      <c r="K287" s="169"/>
    </row>
    <row r="288" ht="15.75" customHeight="1">
      <c r="K288" s="169"/>
    </row>
    <row r="289" ht="15.75" customHeight="1">
      <c r="K289" s="16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0.44"/>
    <col customWidth="1" min="3" max="3" width="13.44"/>
    <col customWidth="1" min="4" max="4" width="11.89"/>
    <col customWidth="1" min="5" max="5" width="38.33"/>
    <col customWidth="1" min="6" max="6" width="4.33"/>
    <col customWidth="1" min="7" max="7" width="12.89"/>
    <col customWidth="1" min="8" max="8" width="5.11"/>
    <col customWidth="1" min="9" max="10" width="17.22"/>
    <col customWidth="1" min="11" max="11" width="33.89"/>
    <col customWidth="1" min="12" max="12" width="4.22"/>
    <col customWidth="1" min="13" max="13" width="3.33"/>
    <col customWidth="1" min="14" max="14" width="2.89"/>
    <col customWidth="1" min="15" max="16" width="9.22"/>
    <col customWidth="1" min="17" max="17" width="19.44"/>
    <col customWidth="1" min="18" max="18" width="3.22"/>
    <col customWidth="1" min="19" max="19" width="5.33"/>
    <col customWidth="1" min="20" max="20" width="5.44"/>
    <col customWidth="1" min="21" max="21" width="4.56"/>
    <col customWidth="1" min="22" max="23" width="3.33"/>
    <col customWidth="1" min="24" max="24" width="4.33"/>
    <col customWidth="1" min="25" max="25" width="5.89"/>
    <col customWidth="1" min="26" max="26" width="7.0"/>
    <col customWidth="1" min="27" max="27" width="3.89"/>
    <col customWidth="1" min="28" max="28" width="6.33"/>
    <col customWidth="1" min="29" max="29" width="5.89"/>
  </cols>
  <sheetData>
    <row r="1" ht="15.75" customHeight="1">
      <c r="A1" s="2" t="str">
        <f>data!C1</f>
        <v/>
      </c>
      <c r="B1" s="2" t="str">
        <f>data!B1</f>
        <v/>
      </c>
      <c r="C1" s="2" t="str">
        <f>data!A1</f>
        <v/>
      </c>
      <c r="D1" s="2" t="str">
        <f>AVERAGE(A1:C1)</f>
        <v>#DIV/0!</v>
      </c>
      <c r="E1" s="3" t="s">
        <v>0</v>
      </c>
      <c r="F1" s="4" t="str">
        <f>MID(SUM(A$1:C$1),1,1)</f>
        <v>0</v>
      </c>
      <c r="G1" s="5">
        <f>IF(LEN(SUM(A$1:C$1))&gt;1,MID(SUM(A$1:C$1),2,1),0)</f>
        <v>0</v>
      </c>
      <c r="H1" s="4">
        <f>SUM(F1+G1)</f>
        <v>0</v>
      </c>
      <c r="I1" s="6" t="str">
        <f>MID(D5,1,1)</f>
        <v>-</v>
      </c>
      <c r="J1" s="6"/>
      <c r="K1" s="7" t="str">
        <f>mid(D5,2,1)</f>
        <v>1</v>
      </c>
      <c r="L1" s="8">
        <f>mid(C5,2,1)-1</f>
        <v>-1</v>
      </c>
      <c r="N1" s="9" t="str">
        <f>mid(D4,2,1)</f>
        <v/>
      </c>
      <c r="O1" s="9">
        <f>mid(D4,1,1)*mid(C4,2,1)</f>
        <v>0</v>
      </c>
      <c r="P1" s="9" t="str">
        <f>mid(C4,1,1)</f>
        <v/>
      </c>
      <c r="S1" s="2">
        <v>328.0</v>
      </c>
      <c r="U1" s="2" t="s">
        <v>1</v>
      </c>
      <c r="W1" s="10" t="s">
        <v>2</v>
      </c>
      <c r="AC1" s="2" t="s">
        <v>3</v>
      </c>
    </row>
    <row r="2" ht="15.75" customHeight="1">
      <c r="A2" s="12"/>
      <c r="B2" s="12"/>
      <c r="C2" s="12">
        <v>3.0</v>
      </c>
      <c r="D2" s="2"/>
      <c r="E2" s="3"/>
      <c r="F2" s="4"/>
      <c r="G2" s="5"/>
      <c r="H2" s="4"/>
      <c r="I2" s="6"/>
      <c r="J2" s="6"/>
      <c r="K2" s="7"/>
      <c r="L2" s="8"/>
      <c r="N2" s="9"/>
      <c r="O2" s="9"/>
      <c r="P2" s="9"/>
      <c r="S2" s="2"/>
      <c r="U2" s="2"/>
      <c r="W2" s="10"/>
      <c r="AC2" s="2"/>
    </row>
    <row r="3" ht="15.75" customHeight="1">
      <c r="C3" s="18">
        <v>1.0</v>
      </c>
      <c r="D3" s="21">
        <f>'Copy of data'!E2</f>
        <v>4096</v>
      </c>
      <c r="E3" s="3"/>
      <c r="F3" s="4"/>
      <c r="G3" s="13"/>
      <c r="H3" s="4"/>
      <c r="I3" s="14"/>
      <c r="J3" s="14"/>
      <c r="K3" s="15"/>
      <c r="L3" s="14"/>
      <c r="M3" s="16"/>
      <c r="N3" s="17"/>
      <c r="O3" s="9"/>
      <c r="P3" s="9"/>
    </row>
    <row r="4" ht="15.75" customHeight="1">
      <c r="A4" s="19" t="str">
        <f>MID(D6,1,1)</f>
        <v>1</v>
      </c>
      <c r="B4" s="20" t="str">
        <f>mid(D6,2,1)</f>
        <v/>
      </c>
      <c r="C4" s="22" t="str">
        <f>CONCAT(A1,B1)</f>
        <v/>
      </c>
      <c r="D4" s="22" t="str">
        <f>CONCATENATE(C3,B1)</f>
        <v>1</v>
      </c>
      <c r="E4" s="3">
        <f>C4-D4</f>
        <v>-1</v>
      </c>
      <c r="F4" s="4">
        <f>H1</f>
        <v>0</v>
      </c>
      <c r="G4" s="5">
        <f>G1</f>
        <v>0</v>
      </c>
      <c r="H4" s="4" t="str">
        <f>F1</f>
        <v>0</v>
      </c>
      <c r="I4" s="23" t="str">
        <f>mid(D6,1,1)</f>
        <v>1</v>
      </c>
      <c r="J4" s="23"/>
      <c r="K4" s="24" t="str">
        <f>mid(D6,2,1)</f>
        <v/>
      </c>
      <c r="L4" s="23">
        <f>mid(D7,1,1) + mid(D7,2,1)</f>
        <v>0</v>
      </c>
      <c r="M4" s="16"/>
      <c r="N4" s="25">
        <f>F7</f>
        <v>-1</v>
      </c>
      <c r="O4" s="26">
        <f>H7-G7</f>
        <v>1</v>
      </c>
      <c r="P4" s="26" t="str">
        <f>G7</f>
        <v/>
      </c>
      <c r="T4" s="2" t="s">
        <v>1</v>
      </c>
      <c r="U4" s="2" t="str">
        <f>I7</f>
        <v/>
      </c>
      <c r="W4" s="2" t="str">
        <f t="shared" ref="W4:AB4" si="1">CONCAT($U4,W$3)</f>
        <v/>
      </c>
      <c r="X4" s="2" t="str">
        <f t="shared" si="1"/>
        <v/>
      </c>
      <c r="Y4" s="2" t="str">
        <f t="shared" si="1"/>
        <v/>
      </c>
      <c r="Z4" s="2" t="str">
        <f t="shared" si="1"/>
        <v/>
      </c>
      <c r="AA4" s="2" t="str">
        <f t="shared" si="1"/>
        <v/>
      </c>
      <c r="AB4" s="2" t="str">
        <f t="shared" si="1"/>
        <v/>
      </c>
    </row>
    <row r="5" ht="15.75" customHeight="1">
      <c r="A5" s="29"/>
      <c r="B5" s="20">
        <v>0.0</v>
      </c>
      <c r="C5" s="27">
        <f>H1-C4</f>
        <v>0</v>
      </c>
      <c r="D5" s="28">
        <f>H1-D4</f>
        <v>-1</v>
      </c>
      <c r="E5" s="2">
        <f t="shared" ref="E5:E6" si="2">C5+D5</f>
        <v>-1</v>
      </c>
      <c r="F5" s="30" t="str">
        <f>F1</f>
        <v>0</v>
      </c>
      <c r="G5" s="30">
        <f>H1</f>
        <v>0</v>
      </c>
      <c r="H5" s="30">
        <f>G1</f>
        <v>0</v>
      </c>
      <c r="I5" s="31" t="str">
        <f t="shared" ref="I5:I6" si="3">mid(C6,2,1)</f>
        <v/>
      </c>
      <c r="J5" s="31"/>
      <c r="K5" s="32">
        <f>mid(C6,1,1)-1</f>
        <v>-1</v>
      </c>
      <c r="L5" s="31" t="str">
        <f>mid(C7,1,1)</f>
        <v/>
      </c>
      <c r="M5" s="16"/>
      <c r="N5" s="33"/>
      <c r="O5" s="34"/>
      <c r="P5" s="34"/>
    </row>
    <row r="6" ht="15.75" customHeight="1">
      <c r="B6" s="3"/>
      <c r="C6" s="27">
        <f>C4+H1</f>
        <v>0</v>
      </c>
      <c r="D6" s="28">
        <f>D4+H1</f>
        <v>1</v>
      </c>
      <c r="E6" s="28">
        <f t="shared" si="2"/>
        <v>1</v>
      </c>
      <c r="F6" s="4" t="str">
        <f>A1</f>
        <v/>
      </c>
      <c r="G6" s="35">
        <f>C3</f>
        <v>1</v>
      </c>
      <c r="H6" s="4">
        <f>B1-3</f>
        <v>-3</v>
      </c>
      <c r="I6" s="36" t="str">
        <f t="shared" si="3"/>
        <v/>
      </c>
      <c r="J6" s="36"/>
      <c r="K6" s="37">
        <f>mid(C7,2,1)-mid(C6,2,1)</f>
        <v>0</v>
      </c>
      <c r="L6" s="36">
        <f>mid(C6,1,1)+mid(C6, 2,1)</f>
        <v>0</v>
      </c>
      <c r="M6" s="16"/>
      <c r="N6" s="39"/>
      <c r="O6" s="4"/>
      <c r="P6" s="4"/>
    </row>
    <row r="7" ht="15.75" customHeight="1">
      <c r="A7" s="40" t="str">
        <f>MID(C6,1,1)</f>
        <v>0</v>
      </c>
      <c r="B7" s="41">
        <v>0.0</v>
      </c>
      <c r="C7" s="43" t="str">
        <f>mid(D4,3,1)</f>
        <v/>
      </c>
      <c r="D7" s="43" t="str">
        <f>MID(D4,2,1)</f>
        <v/>
      </c>
      <c r="E7" s="44" t="s">
        <v>4</v>
      </c>
      <c r="F7" s="46">
        <f>CONCATENATE(MID(C4,1,1))-1</f>
        <v>-1</v>
      </c>
      <c r="G7" s="48" t="str">
        <f>B1</f>
        <v/>
      </c>
      <c r="H7" s="50">
        <f>C3</f>
        <v>1</v>
      </c>
      <c r="I7" s="51" t="str">
        <f>MID(H8,2,1)</f>
        <v/>
      </c>
      <c r="J7" s="51" t="str">
        <f>I7</f>
        <v/>
      </c>
      <c r="K7" s="52">
        <f>MID(H8,1,1)+2</f>
        <v>2</v>
      </c>
      <c r="L7" s="51">
        <f>H7-2</f>
        <v>-1</v>
      </c>
      <c r="M7" s="16"/>
      <c r="N7" s="23">
        <f>L8</f>
        <v>-2</v>
      </c>
      <c r="O7" s="23">
        <f>L8*K8</f>
        <v>-4</v>
      </c>
      <c r="P7" s="23">
        <f>I8-L8</f>
        <v>3</v>
      </c>
      <c r="U7" s="2" t="s">
        <v>5</v>
      </c>
    </row>
    <row r="8" ht="15.75" customHeight="1">
      <c r="A8" s="40" t="str">
        <f>MID(C6,3,1)</f>
        <v/>
      </c>
      <c r="B8" s="29">
        <f>D18</f>
        <v>1</v>
      </c>
      <c r="C8" s="53" t="str">
        <f>mid(D4,1,1)</f>
        <v>1</v>
      </c>
      <c r="D8" s="53">
        <v>0.0</v>
      </c>
      <c r="E8" s="44" t="s">
        <v>6</v>
      </c>
      <c r="F8" s="45">
        <f>CONCATENATE(MID(C5,1,1))+1</f>
        <v>1</v>
      </c>
      <c r="G8" s="45">
        <f>CONCATENATE(MID(C4,2,1))*MID(D4,1,1)</f>
        <v>0</v>
      </c>
      <c r="H8" s="54">
        <f>CONCATENATE(MID(C4,2,1))*MID(C4,2,1)</f>
        <v>0</v>
      </c>
      <c r="I8" s="55">
        <f>H7</f>
        <v>1</v>
      </c>
      <c r="J8" s="55">
        <f>mid(H7,1,1)-1</f>
        <v>0</v>
      </c>
      <c r="K8" s="24">
        <f>mid(H8,1,1)+2</f>
        <v>2</v>
      </c>
      <c r="L8" s="55">
        <f>mid(H8,2,1)-2 </f>
        <v>-2</v>
      </c>
      <c r="M8" s="16"/>
      <c r="N8" s="23">
        <f>IF(I8=5,8,I8)</f>
        <v>1</v>
      </c>
      <c r="O8" s="23">
        <f>K8+1</f>
        <v>3</v>
      </c>
      <c r="P8" s="23">
        <f>L8-1</f>
        <v>-3</v>
      </c>
      <c r="Q8" s="56" t="s">
        <v>7</v>
      </c>
      <c r="S8" s="57"/>
      <c r="T8" s="57"/>
      <c r="AA8" s="2">
        <f>123*13</f>
        <v>1599</v>
      </c>
    </row>
    <row r="9" ht="41.25" customHeight="1">
      <c r="A9" s="61">
        <f>H1</f>
        <v>0</v>
      </c>
      <c r="B9" s="61" t="str">
        <f>G7</f>
        <v/>
      </c>
      <c r="C9" s="2">
        <f>2</f>
        <v>2</v>
      </c>
      <c r="D9" s="2">
        <f>C3+1</f>
        <v>2</v>
      </c>
      <c r="E9" s="3">
        <f>B1+1</f>
        <v>1</v>
      </c>
      <c r="F9" s="58" t="str">
        <f>B20</f>
        <v/>
      </c>
      <c r="G9" s="59" t="str">
        <f>B22</f>
        <v/>
      </c>
      <c r="H9" s="49" t="str">
        <f>B21</f>
        <v/>
      </c>
      <c r="I9" s="23">
        <f>Mid(H8,1,1)+1 </f>
        <v>1</v>
      </c>
      <c r="J9" s="23" t="str">
        <f>mid(H8,1,1)</f>
        <v>0</v>
      </c>
      <c r="K9" s="60">
        <f>MID(H8,2,1)+2</f>
        <v>2</v>
      </c>
      <c r="L9" s="23">
        <f>H7</f>
        <v>1</v>
      </c>
      <c r="M9" s="16"/>
      <c r="N9" s="62">
        <f>O8/2</f>
        <v>1.5</v>
      </c>
      <c r="O9" s="23">
        <f>N8-P8</f>
        <v>4</v>
      </c>
      <c r="P9" s="23">
        <f>O9-P8</f>
        <v>7</v>
      </c>
      <c r="S9" s="57"/>
      <c r="T9" s="57"/>
      <c r="AA9" s="2">
        <v>25.0</v>
      </c>
      <c r="AB9" s="2">
        <v>26.0</v>
      </c>
    </row>
    <row r="10" ht="15.75" customHeight="1">
      <c r="A10" s="2"/>
      <c r="C10" s="63">
        <f>A1*B1</f>
        <v>0</v>
      </c>
      <c r="D10" s="64">
        <f>B1*C3</f>
        <v>0</v>
      </c>
      <c r="E10" s="71"/>
      <c r="F10" s="72">
        <f>F9+H9</f>
        <v>0</v>
      </c>
      <c r="G10" s="45" t="str">
        <f>CONCATENATE(MID(E48,2,1))</f>
        <v>7</v>
      </c>
      <c r="H10" s="54" t="str">
        <f>CONCATENATE(MID(E48,3,1))</f>
        <v>2</v>
      </c>
      <c r="I10" s="68">
        <f>MID(H8,1,1)+2</f>
        <v>2</v>
      </c>
      <c r="J10" s="68"/>
      <c r="K10" s="69">
        <f>MID(H8, 2,1)-1</f>
        <v>-1</v>
      </c>
      <c r="L10" s="68">
        <f>H7</f>
        <v>1</v>
      </c>
      <c r="M10" s="16"/>
      <c r="N10" s="70">
        <f>I10*2</f>
        <v>4</v>
      </c>
      <c r="O10" s="55">
        <f>N10-K10</f>
        <v>5</v>
      </c>
      <c r="P10" s="55">
        <f>O10+L10</f>
        <v>6</v>
      </c>
      <c r="S10" s="57"/>
      <c r="T10" s="57"/>
      <c r="AA10" s="2">
        <v>123.0</v>
      </c>
      <c r="AB10" s="2">
        <v>33.0</v>
      </c>
    </row>
    <row r="11" ht="15.75" customHeight="1">
      <c r="A11" s="2" t="s">
        <v>12</v>
      </c>
      <c r="B11" s="56" t="s">
        <v>9</v>
      </c>
      <c r="C11" s="73" t="str">
        <f>B1+C0</f>
        <v>#ERROR!</v>
      </c>
      <c r="D11" s="73" t="str">
        <f>C11*A1</f>
        <v>#ERROR!</v>
      </c>
      <c r="E11" s="78" t="str">
        <f>CONCATENATE(left(E4,3), right(E5,2))</f>
        <v>-1-1</v>
      </c>
      <c r="F11" s="74">
        <f>F9+G9</f>
        <v>0</v>
      </c>
      <c r="G11" s="74"/>
      <c r="H11" s="74"/>
      <c r="I11" s="75" t="str">
        <f>MID(H8,2,1)</f>
        <v/>
      </c>
      <c r="J11" s="75"/>
      <c r="K11" s="76">
        <f>MID(H8,1,1)-1</f>
        <v>-1</v>
      </c>
      <c r="L11" s="23">
        <f>G8-1</f>
        <v>-1</v>
      </c>
      <c r="M11" s="16"/>
      <c r="N11" s="62">
        <f t="shared" ref="N11:O11" si="4">N8+2</f>
        <v>3</v>
      </c>
      <c r="O11" s="23">
        <f t="shared" si="4"/>
        <v>5</v>
      </c>
      <c r="P11" s="23">
        <f>N9</f>
        <v>1.5</v>
      </c>
      <c r="S11" s="57"/>
      <c r="T11" s="11"/>
      <c r="Y11" s="2">
        <f t="shared" ref="Y11:Y12" si="6">AA9+AB9</f>
        <v>51</v>
      </c>
      <c r="Z11" s="2">
        <f>Y11*30</f>
        <v>1530</v>
      </c>
    </row>
    <row r="12" ht="15.75" customHeight="1">
      <c r="C12" s="63">
        <f>A1*B1</f>
        <v>0</v>
      </c>
      <c r="D12" s="73">
        <f>B1+C3</f>
        <v>1</v>
      </c>
      <c r="E12" s="77"/>
      <c r="F12" s="74">
        <f>G9+H9</f>
        <v>0</v>
      </c>
      <c r="G12" s="74"/>
      <c r="H12" s="74"/>
      <c r="I12" s="75">
        <f>MID(H8,1,1)*2</f>
        <v>0</v>
      </c>
      <c r="J12" s="75">
        <f t="shared" ref="J12:J14" si="7">I12-1</f>
        <v>-1</v>
      </c>
      <c r="K12" s="76">
        <f>mid(H8,2,1)/3</f>
        <v>0</v>
      </c>
      <c r="L12" s="14">
        <f>MID(H8,2,1)-H7</f>
        <v>-1</v>
      </c>
      <c r="M12" s="16"/>
      <c r="N12" s="62">
        <f t="shared" ref="N12:P12" si="5">N11-1</f>
        <v>2</v>
      </c>
      <c r="O12" s="23">
        <f t="shared" si="5"/>
        <v>4</v>
      </c>
      <c r="P12" s="23">
        <f t="shared" si="5"/>
        <v>0.5</v>
      </c>
      <c r="S12" s="57"/>
      <c r="T12" s="11"/>
      <c r="Y12" s="2">
        <f t="shared" si="6"/>
        <v>156</v>
      </c>
      <c r="Z12" s="2">
        <f>Y12*13</f>
        <v>2028</v>
      </c>
    </row>
    <row r="13" ht="15.75" customHeight="1">
      <c r="B13" s="56" t="s">
        <v>13</v>
      </c>
      <c r="C13" s="31">
        <f>C3</f>
        <v>1</v>
      </c>
      <c r="D13" s="31">
        <f>B1-1</f>
        <v>-1</v>
      </c>
      <c r="E13" s="79" t="str">
        <f>A1</f>
        <v/>
      </c>
      <c r="F13" s="4"/>
      <c r="G13" s="4"/>
      <c r="H13" s="4"/>
      <c r="I13" s="85" t="str">
        <f>mid(C6,2,1)</f>
        <v/>
      </c>
      <c r="J13" s="75">
        <f t="shared" si="7"/>
        <v>-1</v>
      </c>
      <c r="K13" s="80">
        <f>mid(C7,1,1)-C8</f>
        <v>-1</v>
      </c>
      <c r="L13" s="14" t="str">
        <f>mid(C7,1,1)</f>
        <v/>
      </c>
      <c r="M13" s="16"/>
      <c r="N13" s="62">
        <f t="shared" ref="N13:O13" si="8">N12-1</f>
        <v>1</v>
      </c>
      <c r="O13" s="23">
        <f t="shared" si="8"/>
        <v>3</v>
      </c>
      <c r="P13" s="23">
        <f>P12+1</f>
        <v>1.5</v>
      </c>
      <c r="S13" s="57"/>
      <c r="T13" s="11"/>
      <c r="Y13" s="38"/>
    </row>
    <row r="14" ht="15.75" customHeight="1">
      <c r="A14" s="82" t="s">
        <v>14</v>
      </c>
      <c r="B14" s="82" t="s">
        <v>15</v>
      </c>
      <c r="C14" s="83">
        <f>D9-1</f>
        <v>1</v>
      </c>
      <c r="D14" s="89">
        <f>D9+C9</f>
        <v>4</v>
      </c>
      <c r="E14" s="84">
        <f>E9</f>
        <v>1</v>
      </c>
      <c r="F14" s="4"/>
      <c r="G14" s="4"/>
      <c r="H14" s="4"/>
      <c r="I14" s="76" t="str">
        <f>mid(C6,1,1)</f>
        <v>0</v>
      </c>
      <c r="J14" s="75">
        <f t="shared" si="7"/>
        <v>-1</v>
      </c>
      <c r="K14" s="76" t="str">
        <f>mid(D7,1,1)</f>
        <v/>
      </c>
      <c r="L14" s="86" t="str">
        <f>mid(D7,2,1)</f>
        <v/>
      </c>
      <c r="M14" s="16"/>
      <c r="N14" s="87">
        <f>I8-2</f>
        <v>-1</v>
      </c>
      <c r="O14" s="88">
        <f>K8</f>
        <v>2</v>
      </c>
      <c r="P14" s="88">
        <f>L8*2</f>
        <v>-4</v>
      </c>
      <c r="S14" s="11"/>
      <c r="T14" s="11"/>
      <c r="Y14" s="2">
        <f>5150</f>
        <v>5150</v>
      </c>
    </row>
    <row r="15" ht="15.75" customHeight="1">
      <c r="B15" s="38">
        <v>107.0</v>
      </c>
      <c r="C15" s="90">
        <f>D13</f>
        <v>-1</v>
      </c>
      <c r="D15" s="90">
        <f>D13+E13</f>
        <v>-1</v>
      </c>
      <c r="E15" s="91">
        <f>E14-1</f>
        <v>0</v>
      </c>
      <c r="F15" s="92"/>
      <c r="G15" s="92"/>
      <c r="H15" s="92"/>
      <c r="I15" s="76">
        <f>mid(D4,1,1)+mid(D4, 2,1)</f>
        <v>1</v>
      </c>
      <c r="J15" s="4"/>
      <c r="K15" s="48" t="str">
        <f>mid(C4,2,1)</f>
        <v/>
      </c>
      <c r="L15" s="93" t="str">
        <f>mid(C6,1,1)</f>
        <v>0</v>
      </c>
      <c r="M15" s="16"/>
      <c r="N15" s="33">
        <f>MID(H8,1,1)+1</f>
        <v>1</v>
      </c>
      <c r="O15" s="34">
        <f>MID(H8,2,1)+1</f>
        <v>1</v>
      </c>
      <c r="P15" s="34">
        <f>O15+H7</f>
        <v>2</v>
      </c>
      <c r="Y15" s="2">
        <f>Y14-SUM(Z11:Z12)</f>
        <v>1592</v>
      </c>
    </row>
    <row r="16" ht="15.75" customHeight="1">
      <c r="A16" s="49" t="s">
        <v>16</v>
      </c>
      <c r="B16" s="38" t="str">
        <f>CONCATENATE(A7,A9,B4)</f>
        <v>00</v>
      </c>
      <c r="C16" s="96"/>
      <c r="D16" s="97"/>
      <c r="F16" s="76" t="str">
        <f>MID(C6,1,1)</f>
        <v>0</v>
      </c>
      <c r="G16" s="76">
        <f>MID(C4,2,1)-mid(D4,1,1)</f>
        <v>-1</v>
      </c>
      <c r="H16" s="76" t="str">
        <f>MID(D4,2,1)</f>
        <v/>
      </c>
      <c r="I16" s="4" t="str">
        <f>mid(G8,2,1)</f>
        <v/>
      </c>
      <c r="J16" s="4"/>
      <c r="K16" s="48">
        <f>MID(G8,1,1)-1</f>
        <v>-1</v>
      </c>
      <c r="L16" s="93" t="str">
        <f>mid(C4,1,1)</f>
        <v/>
      </c>
      <c r="M16" s="98"/>
      <c r="N16" s="100" t="str">
        <f>MID(L11,1,1)</f>
        <v>-</v>
      </c>
      <c r="O16" s="99">
        <f>MID(L11,2,1)+3</f>
        <v>4</v>
      </c>
      <c r="P16" s="99">
        <f>L12*3</f>
        <v>-3</v>
      </c>
    </row>
    <row r="17" ht="24.75" customHeight="1">
      <c r="A17" s="2">
        <v>62.0</v>
      </c>
      <c r="B17" s="2" t="str">
        <f>data!B17</f>
        <v>3</v>
      </c>
      <c r="C17" s="61" t="str">
        <f>E13</f>
        <v/>
      </c>
      <c r="D17" s="61">
        <f>D13</f>
        <v>-1</v>
      </c>
      <c r="E17" s="20">
        <f>D14+1</f>
        <v>5</v>
      </c>
      <c r="F17" s="101" t="str">
        <f>MID(I17,1,1)</f>
        <v/>
      </c>
      <c r="G17" s="101" t="str">
        <f>MID(I17,2,1)</f>
        <v/>
      </c>
      <c r="H17" s="101" t="str">
        <f>MID(I17,3,1)</f>
        <v/>
      </c>
      <c r="I17" s="4" t="str">
        <f>MID(G8,2,1)</f>
        <v/>
      </c>
      <c r="J17" s="4"/>
      <c r="K17" s="102">
        <f>MID(G8,1,1)-1</f>
        <v>-1</v>
      </c>
      <c r="L17" s="62" t="str">
        <f>G7</f>
        <v/>
      </c>
      <c r="M17" s="16"/>
      <c r="N17" s="103">
        <f>O12</f>
        <v>4</v>
      </c>
      <c r="O17" s="104">
        <f>if(O11=8,5,O11)</f>
        <v>5</v>
      </c>
      <c r="P17" s="104">
        <f>O13</f>
        <v>3</v>
      </c>
    </row>
    <row r="18" ht="15.75" customHeight="1">
      <c r="A18" s="2">
        <v>26.0</v>
      </c>
      <c r="C18" s="108" t="str">
        <f>C17</f>
        <v/>
      </c>
      <c r="D18" s="108">
        <f>C17-D17</f>
        <v>1</v>
      </c>
      <c r="E18" s="106">
        <f>E17</f>
        <v>5</v>
      </c>
      <c r="F18" s="107">
        <f>MID(C4,1,1)+1</f>
        <v>1</v>
      </c>
      <c r="G18" s="76">
        <f>mid(C4,2,1) + mid(D4,1,1)</f>
        <v>1</v>
      </c>
      <c r="H18" s="74">
        <f>mid(D4,2,1)-1</f>
        <v>-1</v>
      </c>
      <c r="I18" s="109" t="str">
        <f>mid(D6,3,1)</f>
        <v/>
      </c>
      <c r="J18" s="109"/>
      <c r="L18" s="62" t="str">
        <f>mid(D7,2,1)</f>
        <v/>
      </c>
      <c r="M18" s="110"/>
      <c r="N18" s="111"/>
      <c r="O18" s="112"/>
      <c r="P18" s="112"/>
    </row>
    <row r="19" ht="21.0" customHeight="1">
      <c r="A19" s="22">
        <f>ABs(A17-B17)</f>
        <v>59</v>
      </c>
      <c r="B19" s="22"/>
      <c r="C19" s="61">
        <f>D6</f>
        <v>1</v>
      </c>
      <c r="D19" s="61" t="str">
        <f>LEFT(C6,2)</f>
        <v>0</v>
      </c>
      <c r="E19" s="29"/>
      <c r="F19" s="113"/>
      <c r="G19" s="113"/>
      <c r="H19" s="114"/>
      <c r="I19" s="76">
        <f>I17/2</f>
        <v>0</v>
      </c>
      <c r="J19" s="76"/>
      <c r="K19" s="76">
        <f>K11</f>
        <v>-1</v>
      </c>
      <c r="L19" s="121">
        <f>L17+1</f>
        <v>1</v>
      </c>
      <c r="M19" s="16"/>
      <c r="N19" s="16"/>
    </row>
    <row r="20" ht="15.75" customHeight="1">
      <c r="A20" s="2">
        <f>abs(A18-B17)</f>
        <v>23</v>
      </c>
      <c r="C20" s="29" t="str">
        <f>concatenate(right(D18, 1), left(D18,1))</f>
        <v>11</v>
      </c>
      <c r="D20" s="29"/>
      <c r="F20" s="116"/>
      <c r="G20" s="116"/>
      <c r="H20" s="117"/>
      <c r="I20" s="3">
        <f>I10</f>
        <v>2</v>
      </c>
      <c r="J20" s="3"/>
      <c r="K20" s="118" t="str">
        <f>I11</f>
        <v/>
      </c>
      <c r="L20" s="16">
        <f>I12-1</f>
        <v>-1</v>
      </c>
      <c r="M20" s="119"/>
      <c r="N20" s="119"/>
      <c r="S20" s="122">
        <f>O20+P20</f>
        <v>0</v>
      </c>
      <c r="T20" s="2" t="str">
        <f>Q20</f>
        <v/>
      </c>
      <c r="U20" s="2" t="str">
        <f>P20</f>
        <v/>
      </c>
    </row>
    <row r="21" ht="15.75" customHeight="1">
      <c r="A21" s="2">
        <f>A19+A20</f>
        <v>82</v>
      </c>
      <c r="F21" s="116">
        <f>G18</f>
        <v>1</v>
      </c>
      <c r="G21" s="116">
        <f>F18</f>
        <v>1</v>
      </c>
      <c r="H21" s="117">
        <f>H18</f>
        <v>-1</v>
      </c>
      <c r="I21" s="3">
        <f>MID(H8,1,1)+MID(H8,2,1)</f>
        <v>0</v>
      </c>
      <c r="J21" s="3"/>
      <c r="K21" s="3"/>
      <c r="L21" s="16">
        <f>H7</f>
        <v>1</v>
      </c>
      <c r="M21" s="119"/>
      <c r="N21" s="119"/>
    </row>
    <row r="22" ht="15.75" customHeight="1">
      <c r="A22" s="2">
        <f>A20*A19</f>
        <v>1357</v>
      </c>
      <c r="C22" s="29"/>
      <c r="D22" s="29"/>
      <c r="E22" s="123" t="s">
        <v>20</v>
      </c>
      <c r="F22" s="116" t="str">
        <f>I6</f>
        <v/>
      </c>
      <c r="G22" s="116">
        <f>K6+1</f>
        <v>1</v>
      </c>
      <c r="H22" s="124">
        <f>L6-1</f>
        <v>-1</v>
      </c>
      <c r="I22" s="3"/>
      <c r="J22" s="3"/>
      <c r="K22" s="3"/>
      <c r="L22" s="16"/>
      <c r="M22" s="119"/>
      <c r="N22" s="119"/>
    </row>
    <row r="23" ht="15.75" customHeight="1">
      <c r="C23" s="29"/>
      <c r="D23" s="29"/>
      <c r="E23" s="29"/>
      <c r="F23" s="116">
        <f>I5-1</f>
        <v>-1</v>
      </c>
      <c r="G23" s="116">
        <f>K5-1</f>
        <v>-2</v>
      </c>
      <c r="H23" s="116" t="str">
        <f>L5</f>
        <v/>
      </c>
      <c r="I23" s="125"/>
      <c r="J23" s="125"/>
      <c r="K23" s="3"/>
      <c r="L23" s="119"/>
      <c r="M23" s="119"/>
      <c r="N23" s="119"/>
    </row>
    <row r="24" ht="15.75" customHeight="1">
      <c r="B24" s="126"/>
      <c r="C24" s="127"/>
      <c r="D24" s="127"/>
      <c r="E24" s="128" t="s">
        <v>22</v>
      </c>
      <c r="G24" s="130">
        <f>K1-1</f>
        <v>0</v>
      </c>
      <c r="H24" s="123">
        <f>H23/F26</f>
        <v>0</v>
      </c>
      <c r="I24" s="131"/>
      <c r="J24" s="131"/>
      <c r="K24" s="129"/>
      <c r="L24" s="119"/>
      <c r="M24" s="119"/>
      <c r="N24" s="119"/>
    </row>
    <row r="25" ht="15.75" customHeight="1">
      <c r="A25" s="2" t="s">
        <v>23</v>
      </c>
      <c r="B25" s="126"/>
      <c r="C25" s="132"/>
      <c r="D25" s="132"/>
      <c r="E25" s="133"/>
      <c r="F25" s="116">
        <f>I6+1</f>
        <v>1</v>
      </c>
      <c r="G25" s="116">
        <f>F25+K6</f>
        <v>1</v>
      </c>
      <c r="H25" s="116">
        <f>K6+L6</f>
        <v>0</v>
      </c>
      <c r="I25" s="125" t="s">
        <v>24</v>
      </c>
      <c r="J25" s="125"/>
      <c r="K25" s="134" t="str">
        <f>CONCATENATE(mid(I35,1,1),mid(I35,2,1),mid(I35,3,1)-2)  </f>
        <v>-2-2</v>
      </c>
      <c r="L25" s="119"/>
      <c r="M25" s="119"/>
      <c r="N25" s="119"/>
      <c r="O25" s="56"/>
    </row>
    <row r="26" ht="15.75" customHeight="1">
      <c r="A26" s="2" t="s">
        <v>25</v>
      </c>
      <c r="B26" s="135"/>
      <c r="C26" s="136"/>
      <c r="D26" s="136"/>
      <c r="E26" s="133"/>
      <c r="F26" s="130">
        <f>F23-D37</f>
        <v>-1</v>
      </c>
      <c r="G26" s="116">
        <f>K10</f>
        <v>-1</v>
      </c>
      <c r="H26" s="137">
        <f>0</f>
        <v>0</v>
      </c>
      <c r="I26" s="125"/>
      <c r="J26" s="125"/>
      <c r="K26" s="138" t="str">
        <f>CONCATENATE(mid(I35,1,1),mid(I35,2,1),mid(I35,3,1)/2)  </f>
        <v>-20</v>
      </c>
    </row>
    <row r="27" ht="15.75" customHeight="1">
      <c r="B27" s="126"/>
      <c r="C27" s="126"/>
      <c r="D27" s="126"/>
      <c r="E27" s="139"/>
      <c r="F27" s="116">
        <f>H25-1</f>
        <v>-1</v>
      </c>
      <c r="G27" s="116">
        <f>G25</f>
        <v>1</v>
      </c>
      <c r="H27" s="116">
        <f>H25+G25</f>
        <v>1</v>
      </c>
      <c r="I27" s="125" t="s">
        <v>27</v>
      </c>
      <c r="J27" s="125"/>
      <c r="P27" s="2">
        <v>503.0</v>
      </c>
    </row>
    <row r="28" ht="15.75" customHeight="1">
      <c r="A28" s="2">
        <v>49.0</v>
      </c>
      <c r="B28" s="126"/>
      <c r="C28" s="126"/>
      <c r="D28" s="126" t="str">
        <f>sqft(629)</f>
        <v>#NAME?</v>
      </c>
      <c r="E28" s="2" t="s">
        <v>28</v>
      </c>
      <c r="F28" s="140">
        <f>0</f>
        <v>0</v>
      </c>
      <c r="G28" s="140">
        <f>G27</f>
        <v>1</v>
      </c>
      <c r="H28" s="141">
        <f>F27-1</f>
        <v>-2</v>
      </c>
      <c r="I28" s="28" t="s">
        <v>29</v>
      </c>
      <c r="J28" s="28"/>
      <c r="K28" s="142" t="str">
        <f>CONCATENATE(A1+1,B1+1,C3+1)</f>
        <v>112</v>
      </c>
      <c r="L28" s="143" t="str">
        <f>Concatenate(MID(K28,4,1)-MID(K28,3,1),MID(K28,2,1),MID(K28,1,1))</f>
        <v>-211</v>
      </c>
      <c r="M28" s="38"/>
      <c r="N28" s="38"/>
      <c r="O28" s="56"/>
      <c r="P28" s="2">
        <v>793.0</v>
      </c>
      <c r="R28" s="144"/>
      <c r="T28" s="2">
        <v>69.0</v>
      </c>
      <c r="U28" s="2">
        <v>96.0</v>
      </c>
      <c r="V28" s="2">
        <v>960.0</v>
      </c>
    </row>
    <row r="29" ht="15.75" customHeight="1">
      <c r="A29" s="2">
        <v>62.0</v>
      </c>
      <c r="B29" s="126"/>
      <c r="C29" s="126"/>
      <c r="D29" s="126"/>
      <c r="E29" s="145" t="s">
        <v>30</v>
      </c>
      <c r="F29" s="146" t="str">
        <f>F22</f>
        <v/>
      </c>
      <c r="H29" s="146">
        <f>G22</f>
        <v>1</v>
      </c>
      <c r="I29" s="147"/>
      <c r="J29" s="148"/>
      <c r="K29" s="125" t="s">
        <v>32</v>
      </c>
      <c r="L29" s="149"/>
      <c r="M29" s="150"/>
      <c r="N29" s="38"/>
      <c r="O29" s="2">
        <v>541.0</v>
      </c>
      <c r="P29" s="2">
        <v>229.0</v>
      </c>
      <c r="T29" s="151">
        <v>963.0</v>
      </c>
      <c r="U29" s="151">
        <v>369.0</v>
      </c>
      <c r="V29" s="151">
        <v>769.0</v>
      </c>
      <c r="W29" s="151"/>
    </row>
    <row r="30" ht="15.75" customHeight="1">
      <c r="A30" s="2">
        <f>A28*A29</f>
        <v>3038</v>
      </c>
      <c r="B30" s="152"/>
      <c r="C30" s="152"/>
      <c r="D30" s="152"/>
      <c r="E30" s="153"/>
      <c r="F30" s="146">
        <f>C30-B1</f>
        <v>0</v>
      </c>
      <c r="G30" s="146">
        <f>F30+1</f>
        <v>1</v>
      </c>
      <c r="H30" s="146" t="str">
        <f>D30</f>
        <v/>
      </c>
      <c r="I30" s="3"/>
      <c r="J30" s="3"/>
      <c r="K30" s="154"/>
      <c r="L30" s="38"/>
      <c r="M30" s="38"/>
      <c r="N30" s="38"/>
      <c r="W30" s="151"/>
      <c r="X30" s="151"/>
    </row>
    <row r="31" ht="36.0" customHeight="1">
      <c r="A31" s="2">
        <f>A28*left(A29,  1)</f>
        <v>294</v>
      </c>
      <c r="B31" s="135"/>
      <c r="C31" s="135"/>
      <c r="D31" s="135"/>
      <c r="E31" s="145" t="s">
        <v>30</v>
      </c>
      <c r="F31" s="146" t="str">
        <f>#REF!</f>
        <v>#REF!</v>
      </c>
      <c r="G31" s="146">
        <f>G26-1</f>
        <v>-2</v>
      </c>
      <c r="H31" s="146">
        <f>H26+2</f>
        <v>2</v>
      </c>
      <c r="I31" s="44" t="s">
        <v>35</v>
      </c>
      <c r="J31" s="44"/>
      <c r="K31" s="156" t="str">
        <f>CONCATENATE(mid(I35,1,1),mid(I35,2,1),mid(I35,3,1)+2)  </f>
        <v>-22</v>
      </c>
      <c r="L31" s="38"/>
      <c r="M31" s="38"/>
      <c r="N31" s="38"/>
      <c r="P31" s="2">
        <v>519.0</v>
      </c>
      <c r="T31" s="2">
        <v>967.0</v>
      </c>
      <c r="U31" s="2">
        <v>69.0</v>
      </c>
      <c r="W31" s="151"/>
    </row>
    <row r="32" ht="15.75" customHeight="1">
      <c r="A32" s="2">
        <f>A28*right(A29, 1)</f>
        <v>98</v>
      </c>
      <c r="B32" s="126"/>
      <c r="C32" s="126"/>
      <c r="D32" s="126"/>
      <c r="E32" s="145" t="s">
        <v>30</v>
      </c>
      <c r="F32" s="158">
        <f t="shared" ref="F32:G32" si="9">C27+2</f>
        <v>2</v>
      </c>
      <c r="G32" s="158">
        <f t="shared" si="9"/>
        <v>2</v>
      </c>
      <c r="H32" s="146">
        <f>E27+1</f>
        <v>1</v>
      </c>
      <c r="I32" s="3"/>
      <c r="J32" s="3"/>
      <c r="K32" s="134" t="str">
        <f>CONCATENATE(mid(I35,3,1)+2,mid(I35,2,1),mid(I35,1,1))  </f>
        <v>22-</v>
      </c>
      <c r="L32" s="159"/>
      <c r="M32" s="38"/>
      <c r="N32" s="38"/>
      <c r="R32" s="11"/>
      <c r="T32" s="151"/>
      <c r="U32" s="151"/>
      <c r="V32" s="151"/>
      <c r="W32" s="151"/>
    </row>
    <row r="33" ht="15.75" customHeight="1">
      <c r="A33" s="2">
        <f>A28*(A29+1)</f>
        <v>3087</v>
      </c>
      <c r="B33" s="160"/>
      <c r="C33" s="160"/>
      <c r="D33" s="160"/>
      <c r="E33" s="2" t="str">
        <f>CONCATENATE(B33+MID(C33,1,1),MID(C33,2,1))</f>
        <v>0</v>
      </c>
      <c r="F33" s="75">
        <f>N10-1</f>
        <v>3</v>
      </c>
      <c r="G33" s="75">
        <f>F33+1</f>
        <v>4</v>
      </c>
      <c r="H33" s="146">
        <f>P10</f>
        <v>6</v>
      </c>
      <c r="I33" s="3"/>
      <c r="J33" s="3"/>
      <c r="K33" s="161"/>
      <c r="L33" s="146"/>
      <c r="M33" s="146" t="str">
        <f>T10</f>
        <v/>
      </c>
      <c r="N33" s="38"/>
      <c r="W33" s="151"/>
      <c r="X33" s="151"/>
    </row>
    <row r="34" ht="15.75" customHeight="1">
      <c r="A34" s="2">
        <f>A28*(A29+2)</f>
        <v>3136</v>
      </c>
      <c r="B34" s="160"/>
      <c r="C34" s="160"/>
      <c r="D34" s="160"/>
      <c r="E34" s="162" t="s">
        <v>36</v>
      </c>
      <c r="F34" s="89">
        <f>F23-1</f>
        <v>-2</v>
      </c>
      <c r="G34" s="89">
        <f t="shared" ref="G34:H34" si="10">G23</f>
        <v>-2</v>
      </c>
      <c r="H34" s="89" t="str">
        <f t="shared" si="10"/>
        <v/>
      </c>
      <c r="I34" s="44" t="str">
        <f t="shared" ref="I34:I36" si="11">CONCATENATE(F34,G34,H34)</f>
        <v>-2-2</v>
      </c>
      <c r="J34" s="44"/>
      <c r="K34" s="164" t="s">
        <v>37</v>
      </c>
      <c r="L34" s="38"/>
      <c r="M34" s="38"/>
      <c r="N34" s="38"/>
      <c r="W34" s="151"/>
    </row>
    <row r="35" ht="15.75" customHeight="1">
      <c r="A35" s="2">
        <f>A28*(A29-1)</f>
        <v>2989</v>
      </c>
      <c r="B35" s="165"/>
      <c r="C35" s="165"/>
      <c r="D35" s="165"/>
      <c r="E35" s="166" t="s">
        <v>39</v>
      </c>
      <c r="F35" s="14">
        <f>G23</f>
        <v>-2</v>
      </c>
      <c r="G35" s="14">
        <f>F28</f>
        <v>0</v>
      </c>
      <c r="H35" s="14">
        <f>G24</f>
        <v>0</v>
      </c>
      <c r="I35" s="125" t="str">
        <f t="shared" si="11"/>
        <v>-200</v>
      </c>
      <c r="J35" s="125"/>
      <c r="K35" s="169" t="s">
        <v>41</v>
      </c>
      <c r="L35" s="38"/>
      <c r="M35" s="38"/>
      <c r="N35" s="38"/>
      <c r="T35" s="151"/>
      <c r="U35" s="151"/>
      <c r="V35" s="151"/>
      <c r="W35" s="151"/>
    </row>
    <row r="36" ht="15.75" customHeight="1">
      <c r="A36" s="2">
        <f>A28*(A29-2)</f>
        <v>2940</v>
      </c>
      <c r="B36" s="170"/>
      <c r="C36" s="170"/>
      <c r="D36" s="170"/>
      <c r="E36" s="168"/>
      <c r="F36" s="171"/>
      <c r="G36" s="171"/>
      <c r="H36" s="171"/>
      <c r="I36" s="125" t="str">
        <f t="shared" si="11"/>
        <v/>
      </c>
      <c r="J36" s="125"/>
      <c r="K36" s="172" t="s">
        <v>42</v>
      </c>
      <c r="L36" s="38"/>
      <c r="M36" s="38"/>
      <c r="N36" s="38"/>
      <c r="O36" s="2">
        <v>813.0</v>
      </c>
      <c r="V36" s="155"/>
      <c r="W36" s="155"/>
    </row>
    <row r="37" ht="15.75" customHeight="1">
      <c r="B37" s="170"/>
      <c r="C37" s="170"/>
      <c r="D37" s="170"/>
      <c r="E37" s="173" t="s">
        <v>43</v>
      </c>
      <c r="F37" s="146">
        <f>2</f>
        <v>2</v>
      </c>
      <c r="G37" s="146">
        <f t="shared" ref="G37:H37" si="12">F25+1</f>
        <v>2</v>
      </c>
      <c r="H37" s="146">
        <f t="shared" si="12"/>
        <v>2</v>
      </c>
      <c r="I37" s="174"/>
      <c r="J37" s="174"/>
      <c r="K37" s="175" t="s">
        <v>44</v>
      </c>
      <c r="L37" s="38">
        <f>54-12</f>
        <v>42</v>
      </c>
      <c r="M37" s="132"/>
      <c r="N37" s="132"/>
      <c r="O37" s="2">
        <v>904.0</v>
      </c>
      <c r="R37" s="144"/>
    </row>
    <row r="38" ht="15.75" customHeight="1">
      <c r="B38" s="170"/>
      <c r="C38" s="170"/>
      <c r="D38" s="170"/>
      <c r="E38" s="168"/>
      <c r="F38" s="31" t="str">
        <f>E26</f>
        <v/>
      </c>
      <c r="G38" s="177" t="str">
        <f>E25</f>
        <v/>
      </c>
      <c r="H38" s="177" t="str">
        <f>E24</f>
        <v>check this option for middle digit</v>
      </c>
      <c r="I38" s="178" t="str">
        <f t="shared" ref="I38:I39" si="13">CONCATENATE(F38,G38,H38)</f>
        <v>check this option for middle digit</v>
      </c>
      <c r="J38" s="178"/>
      <c r="K38" s="179" t="s">
        <v>45</v>
      </c>
      <c r="L38" s="180"/>
      <c r="M38" s="181"/>
      <c r="N38" s="181"/>
      <c r="V38" s="11"/>
    </row>
    <row r="39" ht="15.75" customHeight="1">
      <c r="B39" s="182"/>
      <c r="C39" s="168"/>
      <c r="D39" s="168"/>
      <c r="E39" s="168"/>
      <c r="F39" s="146" t="str">
        <f>H38</f>
        <v>check this option for middle digit</v>
      </c>
      <c r="G39" s="183" t="str">
        <f>G38</f>
        <v/>
      </c>
      <c r="H39" s="183" t="str">
        <f>F38</f>
        <v/>
      </c>
      <c r="I39" s="3" t="str">
        <f t="shared" si="13"/>
        <v>check this option for middle digit</v>
      </c>
      <c r="J39" s="3"/>
      <c r="K39" s="184"/>
      <c r="L39" s="180"/>
      <c r="M39" s="180"/>
      <c r="N39" s="180"/>
      <c r="O39" s="180"/>
      <c r="P39" s="180"/>
      <c r="Q39" s="180"/>
      <c r="R39" s="180"/>
    </row>
    <row r="40" ht="15.75" customHeight="1">
      <c r="B40" s="168"/>
      <c r="C40" s="168"/>
      <c r="D40" s="168"/>
      <c r="E40" s="168"/>
      <c r="F40" s="146" t="str">
        <f>F39</f>
        <v>check this option for middle digit</v>
      </c>
      <c r="G40" s="183" t="str">
        <f>F40-G39</f>
        <v>#VALUE!</v>
      </c>
      <c r="H40" s="183">
        <f>H39-H39</f>
        <v>0</v>
      </c>
      <c r="J40" s="152"/>
      <c r="K40" s="184"/>
      <c r="L40" s="185"/>
      <c r="M40" s="180"/>
      <c r="N40" s="180"/>
    </row>
    <row r="41" ht="15.75" customHeight="1">
      <c r="B41" s="168"/>
      <c r="C41" s="168"/>
      <c r="D41" s="168"/>
      <c r="E41" s="168"/>
      <c r="F41" s="21" t="str">
        <f>E30</f>
        <v/>
      </c>
      <c r="G41" s="187" t="str">
        <f>E32</f>
        <v>check this color for first digit or last digit</v>
      </c>
      <c r="H41" s="187" t="str">
        <f>E31</f>
        <v>check this color for first digit or last digit</v>
      </c>
      <c r="I41" s="188"/>
      <c r="J41" s="189"/>
      <c r="K41" s="134" t="str">
        <f>CONCATENATE(A1+1,B1-1,C3-1)</f>
        <v>1-10</v>
      </c>
      <c r="L41" s="190" t="str">
        <f>CONCATENATE(MID(K41,1,1),MID(K41,2,1),MID(K41,4,1))</f>
        <v>1-0</v>
      </c>
      <c r="M41" s="180"/>
      <c r="N41" s="180"/>
      <c r="O41" s="180"/>
      <c r="P41" s="180"/>
      <c r="Q41" s="180"/>
      <c r="R41" s="180"/>
    </row>
    <row r="42" ht="15.75" customHeight="1">
      <c r="B42" s="168"/>
      <c r="C42" s="168"/>
      <c r="D42" s="168"/>
      <c r="E42" s="168"/>
      <c r="F42" s="2">
        <v>1.0</v>
      </c>
      <c r="G42" s="191"/>
      <c r="H42" s="191"/>
      <c r="I42" s="188"/>
      <c r="J42" s="189"/>
      <c r="K42" s="184" t="s">
        <v>47</v>
      </c>
      <c r="L42" s="190"/>
      <c r="M42" s="180"/>
      <c r="N42" s="180"/>
      <c r="O42" s="180"/>
      <c r="P42" s="180"/>
      <c r="Q42" s="180"/>
      <c r="R42" s="180"/>
    </row>
    <row r="43" ht="15.75" customHeight="1">
      <c r="B43" s="170"/>
      <c r="C43" s="170"/>
      <c r="D43" s="170"/>
      <c r="E43" s="168"/>
      <c r="F43" s="2">
        <f>G35</f>
        <v>0</v>
      </c>
      <c r="G43" s="191">
        <f>F35</f>
        <v>-2</v>
      </c>
      <c r="H43" s="191">
        <f>H35</f>
        <v>0</v>
      </c>
      <c r="I43" s="147"/>
      <c r="J43" s="152"/>
      <c r="K43" s="193" t="s">
        <v>48</v>
      </c>
      <c r="L43" s="194">
        <v>787.0</v>
      </c>
      <c r="M43" s="180"/>
      <c r="N43" s="180"/>
      <c r="O43" s="180"/>
      <c r="P43" s="180"/>
      <c r="Q43" s="180"/>
      <c r="R43" s="180"/>
    </row>
    <row r="44" ht="15.75" customHeight="1">
      <c r="A44" s="195"/>
      <c r="B44" s="168"/>
      <c r="C44" s="168"/>
      <c r="D44" s="168"/>
      <c r="E44" s="168"/>
      <c r="G44" s="191"/>
      <c r="H44" s="191"/>
      <c r="I44" s="188"/>
      <c r="J44" s="189"/>
      <c r="K44" s="184"/>
      <c r="L44" s="190"/>
      <c r="M44" s="180"/>
      <c r="N44" s="180"/>
      <c r="O44" s="180"/>
      <c r="P44" s="180"/>
      <c r="Q44" s="180"/>
      <c r="R44" s="180"/>
    </row>
    <row r="45" ht="15.75" customHeight="1">
      <c r="B45" s="168"/>
      <c r="C45" s="168"/>
      <c r="D45" s="168"/>
      <c r="E45" s="168">
        <f>52</f>
        <v>52</v>
      </c>
      <c r="F45" s="196" t="str">
        <f>F40</f>
        <v>check this option for middle digit</v>
      </c>
      <c r="G45" s="197" t="str">
        <f>G40+1</f>
        <v>#VALUE!</v>
      </c>
      <c r="H45" s="197" t="str">
        <f>H39/D37</f>
        <v>#DIV/0!</v>
      </c>
      <c r="I45" s="188"/>
      <c r="J45" s="189"/>
      <c r="K45" s="184"/>
      <c r="L45" s="190"/>
      <c r="M45" s="180"/>
      <c r="N45" s="180"/>
      <c r="O45" s="180"/>
      <c r="P45" s="180"/>
      <c r="Q45" s="180"/>
      <c r="R45" s="180"/>
    </row>
    <row r="46" ht="15.75" customHeight="1">
      <c r="B46" s="168"/>
      <c r="C46" s="168"/>
      <c r="D46" s="168"/>
      <c r="E46" s="168"/>
      <c r="G46" s="191"/>
      <c r="H46" s="191"/>
      <c r="I46" s="188"/>
      <c r="J46" s="189"/>
      <c r="K46" s="184"/>
      <c r="L46" s="190"/>
      <c r="M46" s="132"/>
      <c r="N46" s="180"/>
      <c r="O46" s="180"/>
      <c r="P46" s="180"/>
      <c r="Q46" s="180"/>
      <c r="R46" s="180"/>
    </row>
    <row r="47" ht="15.75" customHeight="1">
      <c r="B47" s="168"/>
      <c r="C47" s="168"/>
      <c r="D47" s="168"/>
      <c r="E47" s="168"/>
      <c r="F47" s="2">
        <v>995.0</v>
      </c>
      <c r="G47" s="191"/>
      <c r="H47" s="191"/>
      <c r="I47" s="126"/>
      <c r="J47" s="126"/>
      <c r="K47" s="184"/>
      <c r="L47" s="190"/>
      <c r="M47" s="132"/>
      <c r="N47" s="180"/>
      <c r="O47" s="180"/>
      <c r="P47" s="180"/>
      <c r="Q47" s="180"/>
      <c r="R47" s="180"/>
    </row>
    <row r="48" ht="15.75" customHeight="1">
      <c r="B48" s="168"/>
      <c r="C48" s="168"/>
      <c r="D48" s="168"/>
      <c r="E48" s="199">
        <v>272.0</v>
      </c>
      <c r="G48" s="191"/>
      <c r="H48" s="191"/>
      <c r="I48" s="126">
        <v>914.0</v>
      </c>
      <c r="J48" s="126"/>
      <c r="K48" s="184"/>
      <c r="L48" s="191">
        <v>132.0</v>
      </c>
      <c r="M48" s="132"/>
      <c r="N48" s="180"/>
      <c r="O48" s="132"/>
      <c r="P48" s="132"/>
      <c r="Q48" s="132"/>
      <c r="R48" s="132"/>
      <c r="U48" s="10"/>
      <c r="V48" s="10"/>
      <c r="W48" s="10"/>
    </row>
    <row r="49" ht="15.75" customHeight="1">
      <c r="B49" s="168"/>
      <c r="C49" s="168"/>
      <c r="D49" s="168"/>
      <c r="E49" s="168"/>
      <c r="G49" s="185"/>
      <c r="H49" s="185"/>
      <c r="I49" s="191"/>
      <c r="J49" s="191"/>
      <c r="K49" s="200"/>
      <c r="L49" s="190">
        <v>163.0</v>
      </c>
      <c r="M49" s="185"/>
      <c r="N49" s="180"/>
      <c r="O49" s="185"/>
      <c r="P49" s="185"/>
      <c r="Q49" s="185"/>
      <c r="R49" s="185"/>
    </row>
    <row r="50" ht="15.75" customHeight="1">
      <c r="B50" s="168"/>
      <c r="C50" s="168"/>
      <c r="D50" s="168"/>
      <c r="E50" s="168"/>
      <c r="F50" s="2">
        <v>94.0</v>
      </c>
      <c r="G50" s="191">
        <v>49.0</v>
      </c>
      <c r="H50" s="191">
        <v>13.0</v>
      </c>
      <c r="I50" s="188">
        <v>68.0</v>
      </c>
      <c r="J50" s="188"/>
      <c r="K50" s="200"/>
      <c r="L50" s="190"/>
      <c r="M50" s="185"/>
      <c r="N50" s="180"/>
      <c r="O50" s="185"/>
      <c r="P50" s="185"/>
      <c r="Q50" s="185"/>
      <c r="R50" s="185"/>
    </row>
    <row r="51" ht="15.75" customHeight="1">
      <c r="B51" s="168"/>
      <c r="C51" s="168"/>
      <c r="D51" s="168"/>
      <c r="E51" s="168"/>
      <c r="G51" s="191"/>
      <c r="H51" s="191"/>
      <c r="I51" s="188"/>
      <c r="J51" s="188"/>
      <c r="K51" s="200"/>
      <c r="L51" s="191"/>
      <c r="M51" s="185"/>
      <c r="N51" s="180"/>
      <c r="O51" s="185"/>
      <c r="P51" s="185"/>
      <c r="Q51" s="185"/>
      <c r="R51" s="185"/>
    </row>
    <row r="52" ht="15.75" customHeight="1">
      <c r="B52" s="168"/>
      <c r="C52" s="168"/>
      <c r="D52" s="168"/>
      <c r="E52" s="168"/>
      <c r="F52" s="2">
        <v>42.0</v>
      </c>
      <c r="G52" s="191">
        <v>82.0</v>
      </c>
      <c r="H52" s="191">
        <v>9.0</v>
      </c>
      <c r="I52" s="188">
        <v>57.0</v>
      </c>
      <c r="J52" s="188"/>
      <c r="K52" s="200"/>
      <c r="L52" s="191"/>
      <c r="M52" s="185"/>
      <c r="N52" s="180"/>
      <c r="O52" s="185"/>
      <c r="P52" s="185"/>
      <c r="Q52" s="185"/>
      <c r="R52" s="185"/>
    </row>
    <row r="53" ht="15.75" customHeight="1">
      <c r="B53" s="168"/>
      <c r="C53" s="168"/>
      <c r="D53" s="168"/>
      <c r="E53" s="168"/>
      <c r="G53" s="191"/>
      <c r="H53" s="191"/>
      <c r="I53" s="191"/>
      <c r="J53" s="191"/>
      <c r="K53" s="200"/>
      <c r="L53" s="191"/>
      <c r="N53" s="180"/>
    </row>
    <row r="54" ht="15.75" customHeight="1">
      <c r="B54" s="201"/>
      <c r="C54" s="201"/>
      <c r="D54" s="201"/>
      <c r="E54" s="168"/>
      <c r="G54" s="191"/>
      <c r="H54" s="191"/>
      <c r="K54" s="200"/>
      <c r="L54" s="191"/>
      <c r="N54" s="180"/>
      <c r="Q54" s="2"/>
    </row>
    <row r="55" ht="15.75" customHeight="1">
      <c r="B55" s="192"/>
      <c r="C55" s="192"/>
      <c r="D55" s="192"/>
      <c r="G55" s="191">
        <v>7452.0</v>
      </c>
      <c r="H55" s="191"/>
      <c r="K55" s="200"/>
      <c r="L55" s="191"/>
      <c r="N55" s="180"/>
    </row>
    <row r="56" ht="15.75" customHeight="1">
      <c r="B56" s="192"/>
      <c r="C56" s="192"/>
      <c r="D56" s="192"/>
      <c r="I56" s="2"/>
      <c r="J56" s="2"/>
      <c r="K56" s="169"/>
      <c r="N56" s="132"/>
    </row>
    <row r="57" ht="15.75" customHeight="1">
      <c r="G57" s="191"/>
      <c r="H57" s="2">
        <v>613.0</v>
      </c>
      <c r="K57" s="169"/>
    </row>
    <row r="58" ht="15.75" customHeight="1">
      <c r="G58" s="191"/>
      <c r="K58" s="169"/>
    </row>
    <row r="59" ht="15.75" customHeight="1">
      <c r="K59" s="169"/>
    </row>
    <row r="60" ht="15.75" customHeight="1">
      <c r="K60" s="169"/>
    </row>
    <row r="61" ht="15.75" customHeight="1">
      <c r="A61" s="2">
        <f t="shared" ref="A61:F61" si="14">A62+1</f>
        <v>3</v>
      </c>
      <c r="B61" s="2">
        <f t="shared" si="14"/>
        <v>4</v>
      </c>
      <c r="C61" s="2">
        <f t="shared" si="14"/>
        <v>5</v>
      </c>
      <c r="D61" s="2">
        <f t="shared" si="14"/>
        <v>4</v>
      </c>
      <c r="E61" s="2">
        <f t="shared" si="14"/>
        <v>6</v>
      </c>
      <c r="F61" s="2">
        <f t="shared" si="14"/>
        <v>7</v>
      </c>
      <c r="K61" s="169"/>
    </row>
    <row r="62" ht="15.75" customHeight="1">
      <c r="A62" s="2">
        <v>2.0</v>
      </c>
      <c r="B62" s="2">
        <v>3.0</v>
      </c>
      <c r="C62" s="2">
        <v>4.0</v>
      </c>
      <c r="D62" s="2">
        <v>3.0</v>
      </c>
      <c r="E62" s="2">
        <v>5.0</v>
      </c>
      <c r="F62" s="2">
        <v>6.0</v>
      </c>
      <c r="K62" s="169"/>
    </row>
    <row r="63" ht="15.75" customHeight="1">
      <c r="A63" s="2">
        <f t="shared" ref="A63:C63" si="15">A62-1</f>
        <v>1</v>
      </c>
      <c r="B63" s="2">
        <f t="shared" si="15"/>
        <v>2</v>
      </c>
      <c r="C63" s="2">
        <f t="shared" si="15"/>
        <v>3</v>
      </c>
      <c r="D63" s="2">
        <f t="shared" ref="D63:F63" si="16">D64+1</f>
        <v>1</v>
      </c>
      <c r="E63" s="2">
        <f t="shared" si="16"/>
        <v>1</v>
      </c>
      <c r="F63" s="2">
        <f t="shared" si="16"/>
        <v>1</v>
      </c>
      <c r="K63" s="169"/>
    </row>
    <row r="64" ht="15.75" customHeight="1">
      <c r="K64" s="169"/>
    </row>
    <row r="65" ht="15.75" customHeight="1">
      <c r="K65" s="169"/>
    </row>
    <row r="66" ht="15.75" customHeight="1">
      <c r="K66" s="169"/>
    </row>
    <row r="67" ht="15.75" customHeight="1">
      <c r="K67" s="169"/>
    </row>
    <row r="68" ht="15.75" customHeight="1">
      <c r="K68" s="169"/>
    </row>
    <row r="69" ht="15.75" customHeight="1">
      <c r="K69" s="169"/>
    </row>
    <row r="70" ht="15.75" customHeight="1">
      <c r="K70" s="169"/>
    </row>
    <row r="71" ht="15.75" customHeight="1">
      <c r="K71" s="169"/>
    </row>
    <row r="72" ht="15.75" customHeight="1">
      <c r="K72" s="169"/>
    </row>
    <row r="73" ht="15.75" customHeight="1">
      <c r="I73" s="2">
        <v>84.0</v>
      </c>
      <c r="J73" s="2"/>
      <c r="K73" s="169"/>
    </row>
    <row r="74" ht="15.75" customHeight="1">
      <c r="K74" s="169"/>
    </row>
    <row r="75" ht="15.75" customHeight="1">
      <c r="K75" s="169"/>
    </row>
    <row r="76" ht="15.75" customHeight="1">
      <c r="F76" s="2">
        <v>4.0</v>
      </c>
      <c r="G76" s="2">
        <v>6.0</v>
      </c>
      <c r="K76" s="169"/>
    </row>
    <row r="77" ht="15.75" customHeight="1">
      <c r="K77" s="169"/>
    </row>
    <row r="78" ht="15.75" customHeight="1">
      <c r="F78" s="2">
        <f>F76-2</f>
        <v>2</v>
      </c>
      <c r="G78" s="2">
        <f>G76-1</f>
        <v>5</v>
      </c>
      <c r="K78" s="169"/>
    </row>
    <row r="79" ht="15.75" customHeight="1">
      <c r="K79" s="169"/>
    </row>
    <row r="80" ht="15.75" customHeight="1">
      <c r="F80" s="2">
        <f>F76-1</f>
        <v>3</v>
      </c>
      <c r="G80" s="2">
        <f>G76-2</f>
        <v>4</v>
      </c>
      <c r="K80" s="169"/>
    </row>
    <row r="81" ht="15.75" customHeight="1">
      <c r="K81" s="169"/>
    </row>
    <row r="82" ht="15.75" customHeight="1">
      <c r="F82" s="2">
        <f t="shared" ref="F82:G82" si="17">F76-1</f>
        <v>3</v>
      </c>
      <c r="G82" s="2">
        <f t="shared" si="17"/>
        <v>5</v>
      </c>
      <c r="K82" s="169"/>
    </row>
    <row r="83" ht="15.75" customHeight="1">
      <c r="K83" s="169"/>
    </row>
    <row r="84" ht="15.75" customHeight="1">
      <c r="F84" s="2">
        <f t="shared" ref="F84:G84" si="18">F76+1</f>
        <v>5</v>
      </c>
      <c r="G84" s="2">
        <f t="shared" si="18"/>
        <v>7</v>
      </c>
      <c r="K84" s="169"/>
    </row>
    <row r="85" ht="15.75" customHeight="1">
      <c r="K85" s="169"/>
    </row>
    <row r="86" ht="15.75" customHeight="1">
      <c r="K86" s="169"/>
    </row>
    <row r="87" ht="15.75" customHeight="1">
      <c r="F87" s="2">
        <f>F76-2</f>
        <v>2</v>
      </c>
      <c r="G87" s="2">
        <f>G76-6</f>
        <v>0</v>
      </c>
      <c r="K87" s="169"/>
    </row>
    <row r="88" ht="15.75" customHeight="1">
      <c r="K88" s="169"/>
    </row>
    <row r="89" ht="15.75" customHeight="1">
      <c r="F89" s="2">
        <f>F76-1</f>
        <v>3</v>
      </c>
      <c r="G89" s="2">
        <f>G76-6</f>
        <v>0</v>
      </c>
      <c r="K89" s="169"/>
    </row>
    <row r="90" ht="15.75" customHeight="1">
      <c r="K90" s="169"/>
    </row>
    <row r="91" ht="15.75" customHeight="1">
      <c r="K91" s="169"/>
    </row>
    <row r="92" ht="15.75" customHeight="1">
      <c r="K92" s="169"/>
    </row>
    <row r="93" ht="15.75" customHeight="1">
      <c r="K93" s="169"/>
    </row>
    <row r="94" ht="15.75" customHeight="1">
      <c r="K94" s="169"/>
    </row>
    <row r="95" ht="15.75" customHeight="1">
      <c r="K95" s="169"/>
    </row>
    <row r="96" ht="15.75" customHeight="1">
      <c r="K96" s="169"/>
    </row>
    <row r="97" ht="15.75" customHeight="1">
      <c r="K97" s="169"/>
    </row>
    <row r="98" ht="15.75" customHeight="1">
      <c r="K98" s="169"/>
    </row>
    <row r="99" ht="15.75" customHeight="1">
      <c r="K99" s="169"/>
    </row>
    <row r="100" ht="15.75" customHeight="1">
      <c r="K100" s="169"/>
    </row>
    <row r="101" ht="15.75" customHeight="1">
      <c r="K101" s="169"/>
    </row>
    <row r="102" ht="15.75" customHeight="1">
      <c r="K102" s="169"/>
    </row>
    <row r="103" ht="15.75" customHeight="1">
      <c r="K103" s="169"/>
    </row>
    <row r="104" ht="15.75" customHeight="1">
      <c r="K104" s="169"/>
    </row>
    <row r="105" ht="15.75" customHeight="1">
      <c r="K105" s="169"/>
    </row>
    <row r="106" ht="15.75" customHeight="1">
      <c r="K106" s="169"/>
    </row>
    <row r="107" ht="15.75" customHeight="1">
      <c r="K107" s="169"/>
    </row>
    <row r="108" ht="15.75" customHeight="1">
      <c r="K108" s="169"/>
    </row>
    <row r="109" ht="15.75" customHeight="1">
      <c r="K109" s="169"/>
    </row>
    <row r="110" ht="15.75" customHeight="1">
      <c r="K110" s="169"/>
    </row>
    <row r="111" ht="15.75" customHeight="1">
      <c r="K111" s="169"/>
    </row>
    <row r="112" ht="15.75" customHeight="1">
      <c r="K112" s="169"/>
    </row>
    <row r="113" ht="15.75" customHeight="1">
      <c r="K113" s="169"/>
    </row>
    <row r="114" ht="15.75" customHeight="1">
      <c r="K114" s="169"/>
    </row>
    <row r="115" ht="15.75" customHeight="1">
      <c r="K115" s="169"/>
    </row>
    <row r="116" ht="15.75" customHeight="1">
      <c r="K116" s="169"/>
    </row>
    <row r="117" ht="15.75" customHeight="1">
      <c r="K117" s="169"/>
    </row>
    <row r="118" ht="15.75" customHeight="1">
      <c r="K118" s="169"/>
    </row>
    <row r="119" ht="15.75" customHeight="1">
      <c r="K119" s="169"/>
    </row>
    <row r="120" ht="15.75" customHeight="1">
      <c r="K120" s="169"/>
    </row>
    <row r="121" ht="15.75" customHeight="1">
      <c r="K121" s="169"/>
    </row>
    <row r="122" ht="15.75" customHeight="1">
      <c r="K122" s="169"/>
    </row>
    <row r="123" ht="15.75" customHeight="1">
      <c r="K123" s="169"/>
    </row>
    <row r="124" ht="15.75" customHeight="1">
      <c r="K124" s="169"/>
    </row>
    <row r="125" ht="15.75" customHeight="1">
      <c r="K125" s="169"/>
    </row>
    <row r="126" ht="15.75" customHeight="1">
      <c r="K126" s="169"/>
    </row>
    <row r="127" ht="15.75" customHeight="1">
      <c r="K127" s="169"/>
    </row>
    <row r="128" ht="15.75" customHeight="1">
      <c r="K128" s="169"/>
    </row>
    <row r="129" ht="15.75" customHeight="1">
      <c r="K129" s="169"/>
    </row>
    <row r="130" ht="15.75" customHeight="1">
      <c r="K130" s="169"/>
    </row>
    <row r="131" ht="15.75" customHeight="1">
      <c r="K131" s="169"/>
    </row>
    <row r="132" ht="15.75" customHeight="1">
      <c r="K132" s="169"/>
    </row>
    <row r="133" ht="15.75" customHeight="1">
      <c r="K133" s="169"/>
    </row>
    <row r="134" ht="15.75" customHeight="1">
      <c r="K134" s="169"/>
    </row>
    <row r="135" ht="15.75" customHeight="1">
      <c r="K135" s="169"/>
    </row>
    <row r="136" ht="15.75" customHeight="1">
      <c r="K136" s="169"/>
    </row>
    <row r="137" ht="15.75" customHeight="1">
      <c r="K137" s="169"/>
    </row>
    <row r="138" ht="15.75" customHeight="1">
      <c r="K138" s="169"/>
    </row>
    <row r="139" ht="15.75" customHeight="1">
      <c r="K139" s="169"/>
    </row>
    <row r="140" ht="15.75" customHeight="1">
      <c r="K140" s="169"/>
    </row>
    <row r="141" ht="15.75" customHeight="1">
      <c r="K141" s="169"/>
    </row>
    <row r="142" ht="15.75" customHeight="1">
      <c r="K142" s="169"/>
    </row>
    <row r="143" ht="15.75" customHeight="1">
      <c r="K143" s="169"/>
    </row>
    <row r="144" ht="15.75" customHeight="1">
      <c r="K144" s="169"/>
    </row>
    <row r="145" ht="15.75" customHeight="1">
      <c r="K145" s="169"/>
    </row>
    <row r="146" ht="15.75" customHeight="1">
      <c r="K146" s="169"/>
    </row>
    <row r="147" ht="15.75" customHeight="1">
      <c r="K147" s="169"/>
    </row>
    <row r="148" ht="15.75" customHeight="1">
      <c r="K148" s="169"/>
    </row>
    <row r="149" ht="15.75" customHeight="1">
      <c r="K149" s="169"/>
    </row>
    <row r="150" ht="15.75" customHeight="1">
      <c r="K150" s="169"/>
    </row>
    <row r="151" ht="15.75" customHeight="1">
      <c r="K151" s="169"/>
    </row>
    <row r="152" ht="15.75" customHeight="1">
      <c r="K152" s="169"/>
    </row>
    <row r="153" ht="15.75" customHeight="1">
      <c r="K153" s="169"/>
    </row>
    <row r="154" ht="15.75" customHeight="1">
      <c r="K154" s="169"/>
    </row>
    <row r="155" ht="15.75" customHeight="1">
      <c r="K155" s="169"/>
    </row>
    <row r="156" ht="15.75" customHeight="1">
      <c r="K156" s="169"/>
    </row>
    <row r="157" ht="15.75" customHeight="1">
      <c r="K157" s="169"/>
    </row>
    <row r="158" ht="15.75" customHeight="1">
      <c r="K158" s="169"/>
    </row>
    <row r="159" ht="15.75" customHeight="1">
      <c r="K159" s="169"/>
    </row>
    <row r="160" ht="15.75" customHeight="1">
      <c r="K160" s="169"/>
    </row>
    <row r="161" ht="15.75" customHeight="1">
      <c r="K161" s="169"/>
    </row>
    <row r="162" ht="15.75" customHeight="1">
      <c r="K162" s="169"/>
    </row>
    <row r="163" ht="15.75" customHeight="1">
      <c r="K163" s="169"/>
    </row>
    <row r="164" ht="15.75" customHeight="1">
      <c r="K164" s="169"/>
    </row>
    <row r="165" ht="15.75" customHeight="1">
      <c r="K165" s="169"/>
    </row>
    <row r="166" ht="15.75" customHeight="1">
      <c r="K166" s="169"/>
    </row>
    <row r="167" ht="15.75" customHeight="1">
      <c r="K167" s="169"/>
    </row>
    <row r="168" ht="15.75" customHeight="1">
      <c r="K168" s="169"/>
    </row>
    <row r="169" ht="15.75" customHeight="1">
      <c r="K169" s="169"/>
    </row>
    <row r="170" ht="15.75" customHeight="1">
      <c r="K170" s="169"/>
    </row>
    <row r="171" ht="15.75" customHeight="1">
      <c r="K171" s="169"/>
    </row>
    <row r="172" ht="15.75" customHeight="1">
      <c r="K172" s="169"/>
    </row>
    <row r="173" ht="15.75" customHeight="1">
      <c r="K173" s="169"/>
    </row>
    <row r="174" ht="15.75" customHeight="1">
      <c r="K174" s="169"/>
    </row>
    <row r="175" ht="15.75" customHeight="1">
      <c r="K175" s="169"/>
    </row>
    <row r="176" ht="15.75" customHeight="1">
      <c r="K176" s="169"/>
    </row>
    <row r="177" ht="15.75" customHeight="1">
      <c r="K177" s="169"/>
    </row>
    <row r="178" ht="15.75" customHeight="1">
      <c r="K178" s="169"/>
    </row>
    <row r="179" ht="15.75" customHeight="1">
      <c r="K179" s="169"/>
    </row>
    <row r="180" ht="15.75" customHeight="1">
      <c r="K180" s="169"/>
    </row>
    <row r="181" ht="15.75" customHeight="1">
      <c r="K181" s="169"/>
    </row>
    <row r="182" ht="15.75" customHeight="1">
      <c r="K182" s="169"/>
    </row>
    <row r="183" ht="15.75" customHeight="1">
      <c r="K183" s="169"/>
    </row>
    <row r="184" ht="15.75" customHeight="1">
      <c r="K184" s="169"/>
    </row>
    <row r="185" ht="15.75" customHeight="1">
      <c r="K185" s="169"/>
    </row>
    <row r="186" ht="15.75" customHeight="1">
      <c r="K186" s="169"/>
    </row>
    <row r="187" ht="15.75" customHeight="1">
      <c r="K187" s="169"/>
    </row>
    <row r="188" ht="15.75" customHeight="1">
      <c r="K188" s="169"/>
    </row>
    <row r="189" ht="15.75" customHeight="1">
      <c r="K189" s="169"/>
    </row>
    <row r="190" ht="15.75" customHeight="1">
      <c r="K190" s="169"/>
    </row>
    <row r="191" ht="15.75" customHeight="1">
      <c r="K191" s="169"/>
    </row>
    <row r="192" ht="15.75" customHeight="1">
      <c r="K192" s="169"/>
    </row>
    <row r="193" ht="15.75" customHeight="1">
      <c r="K193" s="169"/>
    </row>
    <row r="194" ht="15.75" customHeight="1">
      <c r="K194" s="169"/>
    </row>
    <row r="195" ht="15.75" customHeight="1">
      <c r="K195" s="169"/>
    </row>
    <row r="196" ht="15.75" customHeight="1">
      <c r="K196" s="169"/>
    </row>
    <row r="197" ht="15.75" customHeight="1">
      <c r="K197" s="169"/>
    </row>
    <row r="198" ht="15.75" customHeight="1">
      <c r="K198" s="169"/>
    </row>
    <row r="199" ht="15.75" customHeight="1">
      <c r="K199" s="169"/>
    </row>
    <row r="200" ht="15.75" customHeight="1">
      <c r="K200" s="169"/>
    </row>
    <row r="201" ht="15.75" customHeight="1">
      <c r="K201" s="169"/>
    </row>
    <row r="202" ht="15.75" customHeight="1">
      <c r="K202" s="169"/>
    </row>
    <row r="203" ht="15.75" customHeight="1">
      <c r="K203" s="169"/>
    </row>
    <row r="204" ht="15.75" customHeight="1">
      <c r="K204" s="169"/>
    </row>
    <row r="205" ht="15.75" customHeight="1">
      <c r="K205" s="169"/>
    </row>
    <row r="206" ht="15.75" customHeight="1">
      <c r="K206" s="169"/>
    </row>
    <row r="207" ht="15.75" customHeight="1">
      <c r="K207" s="169"/>
    </row>
    <row r="208" ht="15.75" customHeight="1">
      <c r="K208" s="169"/>
    </row>
    <row r="209" ht="15.75" customHeight="1">
      <c r="K209" s="169"/>
    </row>
    <row r="210" ht="15.75" customHeight="1">
      <c r="K210" s="169"/>
    </row>
    <row r="211" ht="15.75" customHeight="1">
      <c r="K211" s="169"/>
    </row>
    <row r="212" ht="15.75" customHeight="1">
      <c r="K212" s="169"/>
    </row>
    <row r="213" ht="15.75" customHeight="1">
      <c r="K213" s="169"/>
    </row>
    <row r="214" ht="15.75" customHeight="1">
      <c r="K214" s="169"/>
    </row>
    <row r="215" ht="15.75" customHeight="1">
      <c r="K215" s="169"/>
    </row>
    <row r="216" ht="15.75" customHeight="1">
      <c r="K216" s="169"/>
    </row>
    <row r="217" ht="15.75" customHeight="1">
      <c r="K217" s="169"/>
    </row>
    <row r="218" ht="15.75" customHeight="1">
      <c r="K218" s="169"/>
    </row>
    <row r="219" ht="15.75" customHeight="1">
      <c r="K219" s="169"/>
    </row>
    <row r="220" ht="15.75" customHeight="1">
      <c r="K220" s="169"/>
    </row>
    <row r="221" ht="15.75" customHeight="1">
      <c r="K221" s="169"/>
    </row>
    <row r="222" ht="15.75" customHeight="1">
      <c r="K222" s="169"/>
    </row>
    <row r="223" ht="15.75" customHeight="1">
      <c r="K223" s="169"/>
    </row>
    <row r="224" ht="15.75" customHeight="1">
      <c r="K224" s="169"/>
    </row>
    <row r="225" ht="15.75" customHeight="1">
      <c r="K225" s="169"/>
    </row>
    <row r="226" ht="15.75" customHeight="1">
      <c r="K226" s="169"/>
    </row>
    <row r="227" ht="15.75" customHeight="1">
      <c r="K227" s="169"/>
    </row>
    <row r="228" ht="15.75" customHeight="1">
      <c r="K228" s="169"/>
    </row>
    <row r="229" ht="15.75" customHeight="1">
      <c r="K229" s="169"/>
    </row>
    <row r="230" ht="15.75" customHeight="1">
      <c r="K230" s="169"/>
    </row>
    <row r="231" ht="15.75" customHeight="1">
      <c r="K231" s="169"/>
    </row>
    <row r="232" ht="15.75" customHeight="1">
      <c r="K232" s="169"/>
    </row>
    <row r="233" ht="15.75" customHeight="1">
      <c r="K233" s="169"/>
    </row>
    <row r="234" ht="15.75" customHeight="1">
      <c r="K234" s="169"/>
    </row>
    <row r="235" ht="15.75" customHeight="1">
      <c r="K235" s="169"/>
    </row>
    <row r="236" ht="15.75" customHeight="1">
      <c r="K236" s="169"/>
    </row>
    <row r="237" ht="15.75" customHeight="1">
      <c r="K237" s="169"/>
    </row>
    <row r="238" ht="15.75" customHeight="1">
      <c r="K238" s="169"/>
    </row>
    <row r="239" ht="15.75" customHeight="1">
      <c r="K239" s="169"/>
    </row>
    <row r="240" ht="15.75" customHeight="1">
      <c r="K240" s="169"/>
    </row>
    <row r="241" ht="15.75" customHeight="1">
      <c r="K241" s="169"/>
    </row>
    <row r="242" ht="15.75" customHeight="1">
      <c r="K242" s="169"/>
    </row>
    <row r="243" ht="15.75" customHeight="1">
      <c r="K243" s="169"/>
    </row>
    <row r="244" ht="15.75" customHeight="1">
      <c r="K244" s="169"/>
    </row>
    <row r="245" ht="15.75" customHeight="1">
      <c r="K245" s="169"/>
    </row>
    <row r="246" ht="15.75" customHeight="1">
      <c r="K246" s="169"/>
    </row>
    <row r="247" ht="15.75" customHeight="1">
      <c r="K247" s="169"/>
    </row>
    <row r="248" ht="15.75" customHeight="1">
      <c r="K248" s="169"/>
    </row>
    <row r="249" ht="15.75" customHeight="1">
      <c r="K249" s="169"/>
    </row>
    <row r="250" ht="15.75" customHeight="1">
      <c r="K250" s="169"/>
    </row>
    <row r="251" ht="15.75" customHeight="1">
      <c r="K251" s="169"/>
    </row>
    <row r="252" ht="15.75" customHeight="1">
      <c r="K252" s="169"/>
    </row>
    <row r="253" ht="15.75" customHeight="1">
      <c r="K253" s="169"/>
    </row>
    <row r="254" ht="15.75" customHeight="1">
      <c r="K254" s="169"/>
    </row>
    <row r="255" ht="15.75" customHeight="1">
      <c r="K255" s="169"/>
    </row>
    <row r="256" ht="15.75" customHeight="1">
      <c r="K256" s="169"/>
    </row>
    <row r="257" ht="15.75" customHeight="1">
      <c r="K257" s="169"/>
    </row>
    <row r="258" ht="15.75" customHeight="1">
      <c r="K258" s="169"/>
    </row>
    <row r="259" ht="15.75" customHeight="1">
      <c r="K259" s="169"/>
    </row>
    <row r="260" ht="15.75" customHeight="1">
      <c r="K260" s="169"/>
    </row>
    <row r="261" ht="15.75" customHeight="1">
      <c r="K261" s="169"/>
    </row>
    <row r="262" ht="15.75" customHeight="1">
      <c r="K262" s="169"/>
    </row>
    <row r="263" ht="15.75" customHeight="1">
      <c r="K263" s="169"/>
    </row>
    <row r="264" ht="15.75" customHeight="1">
      <c r="K264" s="169"/>
    </row>
    <row r="265" ht="15.75" customHeight="1">
      <c r="K265" s="169"/>
    </row>
    <row r="266" ht="15.75" customHeight="1">
      <c r="K266" s="169"/>
    </row>
    <row r="267" ht="15.75" customHeight="1">
      <c r="K267" s="169"/>
    </row>
    <row r="268" ht="15.75" customHeight="1">
      <c r="K268" s="169"/>
    </row>
    <row r="269" ht="15.75" customHeight="1">
      <c r="K269" s="169"/>
    </row>
    <row r="270" ht="15.75" customHeight="1">
      <c r="K270" s="169"/>
    </row>
    <row r="271" ht="15.75" customHeight="1">
      <c r="K271" s="169"/>
    </row>
    <row r="272" ht="15.75" customHeight="1">
      <c r="K272" s="169"/>
    </row>
    <row r="273" ht="15.75" customHeight="1">
      <c r="K273" s="169"/>
    </row>
    <row r="274" ht="15.75" customHeight="1">
      <c r="K274" s="169"/>
    </row>
    <row r="275" ht="15.75" customHeight="1">
      <c r="K275" s="169"/>
    </row>
    <row r="276" ht="15.75" customHeight="1">
      <c r="K276" s="169"/>
    </row>
    <row r="277" ht="15.75" customHeight="1">
      <c r="K277" s="169"/>
    </row>
    <row r="278" ht="15.75" customHeight="1">
      <c r="K278" s="169"/>
    </row>
    <row r="279" ht="15.75" customHeight="1">
      <c r="K279" s="169"/>
    </row>
    <row r="280" ht="15.75" customHeight="1">
      <c r="K280" s="169"/>
    </row>
    <row r="281" ht="15.75" customHeight="1">
      <c r="K281" s="169"/>
    </row>
    <row r="282" ht="15.75" customHeight="1">
      <c r="K282" s="169"/>
    </row>
    <row r="283" ht="15.75" customHeight="1">
      <c r="K283" s="169"/>
    </row>
    <row r="284" ht="15.75" customHeight="1">
      <c r="K284" s="169"/>
    </row>
    <row r="285" ht="15.75" customHeight="1">
      <c r="K285" s="169"/>
    </row>
    <row r="286" ht="15.75" customHeight="1">
      <c r="K286" s="169"/>
    </row>
    <row r="287" ht="15.75" customHeight="1">
      <c r="K287" s="169"/>
    </row>
    <row r="288" ht="15.75" customHeight="1">
      <c r="K288" s="169"/>
    </row>
    <row r="289" ht="15.75" customHeight="1">
      <c r="K289" s="169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0.44"/>
    <col customWidth="1" min="3" max="3" width="13.44"/>
    <col customWidth="1" min="4" max="4" width="7.11"/>
    <col customWidth="1" min="5" max="5" width="38.33"/>
    <col customWidth="1" min="6" max="6" width="4.33"/>
    <col customWidth="1" min="7" max="7" width="12.89"/>
    <col customWidth="1" min="8" max="8" width="5.11"/>
    <col customWidth="1" min="9" max="10" width="17.22"/>
    <col customWidth="1" min="11" max="12" width="33.89"/>
    <col customWidth="1" min="13" max="13" width="4.22"/>
    <col customWidth="1" min="14" max="14" width="3.33"/>
    <col customWidth="1" min="15" max="15" width="16.33"/>
    <col customWidth="1" min="16" max="16" width="9.22"/>
    <col customWidth="1" min="17" max="17" width="12.89"/>
    <col customWidth="1" min="18" max="18" width="19.44"/>
    <col customWidth="1" min="19" max="19" width="3.22"/>
    <col customWidth="1" min="20" max="20" width="5.33"/>
    <col customWidth="1" min="21" max="21" width="5.44"/>
    <col customWidth="1" min="22" max="22" width="4.56"/>
    <col customWidth="1" min="23" max="24" width="3.33"/>
    <col customWidth="1" min="25" max="25" width="19.0"/>
    <col customWidth="1" min="26" max="26" width="5.89"/>
    <col customWidth="1" min="27" max="27" width="7.0"/>
    <col customWidth="1" min="28" max="28" width="3.89"/>
    <col customWidth="1" min="29" max="29" width="6.33"/>
    <col customWidth="1" min="30" max="30" width="5.89"/>
  </cols>
  <sheetData>
    <row r="1" ht="15.75" customHeight="1">
      <c r="A1" s="1">
        <f>B16</f>
        <v>38</v>
      </c>
      <c r="B1" s="1">
        <f>A18</f>
        <v>26</v>
      </c>
      <c r="C1" s="2"/>
      <c r="D1" s="2">
        <v>4.0</v>
      </c>
      <c r="E1" s="3" t="s">
        <v>0</v>
      </c>
      <c r="F1" s="4" t="str">
        <f>MID(SUM(A$1:C$1),1,1)</f>
        <v>6</v>
      </c>
      <c r="G1" s="5" t="str">
        <f>IF(LEN(SUM(A$1:C$1))&gt;1,MID(SUM(A$1:C$1),2,1),0)</f>
        <v>4</v>
      </c>
      <c r="H1" s="4">
        <f>SUM(F1+G1)</f>
        <v>10</v>
      </c>
      <c r="I1" s="6" t="str">
        <f>MID(D4,1,1)</f>
        <v>9</v>
      </c>
      <c r="J1" s="6"/>
      <c r="K1" s="7" t="str">
        <f>mid(D4,2,1)</f>
        <v>8</v>
      </c>
      <c r="L1" s="7"/>
      <c r="M1" s="8">
        <f>mid(C4,2,1)-1</f>
        <v>-1</v>
      </c>
      <c r="O1" s="9" t="str">
        <f>mid(D3,2,1)</f>
        <v>8</v>
      </c>
      <c r="P1" s="9">
        <f>mid(D3,1,1)*mid(C3,2,1)</f>
        <v>0</v>
      </c>
      <c r="Q1" s="9" t="str">
        <f>mid(C3,1,1)</f>
        <v>0</v>
      </c>
      <c r="T1" s="2">
        <v>328.0</v>
      </c>
      <c r="V1" s="2" t="s">
        <v>1</v>
      </c>
      <c r="X1" s="10" t="s">
        <v>2</v>
      </c>
      <c r="AD1" s="2" t="s">
        <v>3</v>
      </c>
    </row>
    <row r="2" ht="15.75" customHeight="1">
      <c r="C2" s="11">
        <f>A1+B1</f>
        <v>64</v>
      </c>
      <c r="D2" s="11">
        <f>C1*2</f>
        <v>0</v>
      </c>
      <c r="E2" s="3">
        <f>C2*C2</f>
        <v>4096</v>
      </c>
      <c r="F2" s="4"/>
      <c r="G2" s="13"/>
      <c r="H2" s="4"/>
      <c r="I2" s="14"/>
      <c r="J2" s="14"/>
      <c r="K2" s="15"/>
      <c r="L2" s="15"/>
      <c r="M2" s="14"/>
      <c r="N2" s="16"/>
      <c r="O2" s="17"/>
      <c r="P2" s="9"/>
      <c r="Q2" s="9"/>
    </row>
    <row r="3" ht="15.75" customHeight="1">
      <c r="A3" s="19" t="str">
        <f>MID(D5,1,1)</f>
        <v>-</v>
      </c>
      <c r="B3" s="20" t="str">
        <f>mid(D5,2,1)</f>
        <v>2</v>
      </c>
      <c r="C3" s="22">
        <f>A1*C1</f>
        <v>0</v>
      </c>
      <c r="D3" s="22">
        <f>A1*B1</f>
        <v>988</v>
      </c>
      <c r="E3" s="2">
        <f>D4*D4</f>
        <v>976144</v>
      </c>
      <c r="F3" s="4">
        <f>H1</f>
        <v>10</v>
      </c>
      <c r="G3" s="5" t="str">
        <f>G1</f>
        <v>4</v>
      </c>
      <c r="H3" s="4" t="str">
        <f>F1</f>
        <v>6</v>
      </c>
      <c r="I3" s="23" t="str">
        <f>mid(D5,1,1)</f>
        <v>-</v>
      </c>
      <c r="J3" s="23"/>
      <c r="K3" s="24" t="str">
        <f>mid(D5,2,1)</f>
        <v>2</v>
      </c>
      <c r="L3" s="24"/>
      <c r="M3" s="23">
        <f>mid(D6,1,1) + mid(D6,2,1)</f>
        <v>8</v>
      </c>
      <c r="N3" s="16"/>
      <c r="O3" s="25">
        <f>F6</f>
        <v>-1</v>
      </c>
      <c r="P3" s="26">
        <f>H6-G6</f>
        <v>-26</v>
      </c>
      <c r="Q3" s="26">
        <f>G6</f>
        <v>26</v>
      </c>
      <c r="U3" s="2" t="s">
        <v>1</v>
      </c>
      <c r="V3" s="2" t="str">
        <f>I6</f>
        <v/>
      </c>
      <c r="X3" s="2" t="str">
        <f t="shared" ref="X3:AC3" si="1">CONCAT($V3,X$2)</f>
        <v/>
      </c>
      <c r="Y3" s="2" t="str">
        <f t="shared" si="1"/>
        <v/>
      </c>
      <c r="Z3" s="2" t="str">
        <f t="shared" si="1"/>
        <v/>
      </c>
      <c r="AA3" s="2" t="str">
        <f t="shared" si="1"/>
        <v/>
      </c>
      <c r="AB3" s="2" t="str">
        <f t="shared" si="1"/>
        <v/>
      </c>
      <c r="AC3" s="2" t="str">
        <f t="shared" si="1"/>
        <v/>
      </c>
    </row>
    <row r="4" ht="15.75" customHeight="1">
      <c r="A4" s="19" t="str">
        <f>mid(D5,3,1)</f>
        <v>6</v>
      </c>
      <c r="B4" s="20">
        <v>0.0</v>
      </c>
      <c r="C4" s="27">
        <f>B1*C1</f>
        <v>0</v>
      </c>
      <c r="D4" s="28">
        <f>B1*A1</f>
        <v>988</v>
      </c>
      <c r="E4" s="2">
        <f>C4*D4</f>
        <v>0</v>
      </c>
      <c r="F4" s="30" t="str">
        <f>F1</f>
        <v>6</v>
      </c>
      <c r="G4" s="30">
        <f>H1</f>
        <v>10</v>
      </c>
      <c r="H4" s="30" t="str">
        <f>G1</f>
        <v>4</v>
      </c>
      <c r="I4" s="31" t="str">
        <f t="shared" ref="I4:I5" si="2">mid(C5,2,1)</f>
        <v>8</v>
      </c>
      <c r="J4" s="31"/>
      <c r="K4" s="32">
        <f>mid(C5,1,1)-1</f>
        <v>2</v>
      </c>
      <c r="L4" s="32"/>
      <c r="M4" s="31" t="str">
        <f>mid(C6,1,1)</f>
        <v>8</v>
      </c>
      <c r="N4" s="16"/>
      <c r="O4" s="33"/>
      <c r="P4" s="34"/>
      <c r="Q4" s="34"/>
    </row>
    <row r="5" ht="15.75" customHeight="1">
      <c r="B5" s="3"/>
      <c r="C5" s="27">
        <f>A1+C1</f>
        <v>38</v>
      </c>
      <c r="D5" s="28">
        <f>C1-B1</f>
        <v>-26</v>
      </c>
      <c r="E5" s="3">
        <f>D5*C5</f>
        <v>-988</v>
      </c>
      <c r="F5" s="4">
        <f>A1</f>
        <v>38</v>
      </c>
      <c r="G5" s="35" t="str">
        <f>C1</f>
        <v/>
      </c>
      <c r="H5" s="4">
        <f>B1-3</f>
        <v>23</v>
      </c>
      <c r="I5" s="36" t="str">
        <f t="shared" si="2"/>
        <v/>
      </c>
      <c r="J5" s="36"/>
      <c r="K5" s="37">
        <f>mid(C6,2,1)-mid(C5,2,1)</f>
        <v>-8</v>
      </c>
      <c r="L5" s="37"/>
      <c r="M5" s="36">
        <f>mid(C5,1,1)+mid(C5, 2,1)</f>
        <v>11</v>
      </c>
      <c r="N5" s="16"/>
      <c r="O5" s="39"/>
      <c r="P5" s="4"/>
      <c r="Q5" s="4"/>
    </row>
    <row r="6" ht="15.75" customHeight="1">
      <c r="A6" s="40" t="str">
        <f>MID(C5,1,1)</f>
        <v>3</v>
      </c>
      <c r="B6" s="42" t="str">
        <f>MID(C5,2,1)</f>
        <v>8</v>
      </c>
      <c r="C6" s="43" t="str">
        <f>mid(D3,3,1)</f>
        <v>8</v>
      </c>
      <c r="D6" s="43" t="str">
        <f>MID(D3,2,1)</f>
        <v>8</v>
      </c>
      <c r="E6" s="44" t="s">
        <v>4</v>
      </c>
      <c r="F6" s="45">
        <f>CONCATENATE(MID(C3,1,1))-1</f>
        <v>-1</v>
      </c>
      <c r="G6" s="47">
        <f t="shared" ref="G6:H6" si="3">B1</f>
        <v>26</v>
      </c>
      <c r="H6" s="49" t="str">
        <f t="shared" si="3"/>
        <v/>
      </c>
      <c r="I6" s="51" t="str">
        <f>MID(H7,2,1)</f>
        <v/>
      </c>
      <c r="J6" s="51" t="str">
        <f>I6</f>
        <v/>
      </c>
      <c r="K6" s="52">
        <f>MID(H7,1,1)+2</f>
        <v>2</v>
      </c>
      <c r="L6" s="52"/>
      <c r="M6" s="51">
        <f>H6-2</f>
        <v>-2</v>
      </c>
      <c r="N6" s="16"/>
      <c r="O6" s="23">
        <f>M7</f>
        <v>-2</v>
      </c>
      <c r="P6" s="23">
        <f>M7*K7</f>
        <v>-4</v>
      </c>
      <c r="Q6" s="23">
        <f>I7-M7</f>
        <v>2</v>
      </c>
      <c r="V6" s="2" t="s">
        <v>5</v>
      </c>
    </row>
    <row r="7" ht="15.75" customHeight="1">
      <c r="A7" s="40" t="str">
        <f>MID(C5,3,1)</f>
        <v/>
      </c>
      <c r="B7" s="41">
        <v>0.0</v>
      </c>
      <c r="C7" s="53" t="str">
        <f>mid(D3,1,1)</f>
        <v>9</v>
      </c>
      <c r="D7" s="53">
        <v>0.0</v>
      </c>
      <c r="E7" s="44" t="s">
        <v>6</v>
      </c>
      <c r="F7" s="45">
        <f>CONCATENATE(MID(C4,1,1))+1</f>
        <v>1</v>
      </c>
      <c r="G7" s="45">
        <f>CONCATENATE(MID(C3,2,1))*MID(D3,1,1)</f>
        <v>0</v>
      </c>
      <c r="H7" s="54">
        <f>CONCATENATE(MID(C3,2,1))*MID(C3,2,1)</f>
        <v>0</v>
      </c>
      <c r="I7" s="55" t="str">
        <f>H6</f>
        <v/>
      </c>
      <c r="J7" s="55">
        <f>mid(H6,1,1)-1</f>
        <v>-1</v>
      </c>
      <c r="K7" s="24">
        <f>mid(H7,1,1)+2</f>
        <v>2</v>
      </c>
      <c r="L7" s="24"/>
      <c r="M7" s="55">
        <f>mid(H7,2,1)-2 </f>
        <v>-2</v>
      </c>
      <c r="N7" s="16"/>
      <c r="O7" s="23" t="str">
        <f>IF(I7=5,8,I7)</f>
        <v/>
      </c>
      <c r="P7" s="23">
        <f>K7+1</f>
        <v>3</v>
      </c>
      <c r="Q7" s="23">
        <f>M7-1</f>
        <v>-3</v>
      </c>
      <c r="R7" s="56" t="s">
        <v>7</v>
      </c>
      <c r="T7" s="57"/>
      <c r="U7" s="57"/>
      <c r="AB7" s="2">
        <f>123*13</f>
        <v>1599</v>
      </c>
    </row>
    <row r="8" ht="41.25" customHeight="1">
      <c r="A8" s="2"/>
      <c r="C8" s="2">
        <f>2</f>
        <v>2</v>
      </c>
      <c r="D8" s="2">
        <f>C1+1</f>
        <v>1</v>
      </c>
      <c r="E8" s="3">
        <f>B1+1</f>
        <v>27</v>
      </c>
      <c r="F8" s="58" t="str">
        <f>B19</f>
        <v/>
      </c>
      <c r="G8" s="59" t="str">
        <f>B21</f>
        <v/>
      </c>
      <c r="H8" s="49" t="str">
        <f>B20</f>
        <v/>
      </c>
      <c r="I8" s="23">
        <f>Mid(H7,1,1)+1 </f>
        <v>1</v>
      </c>
      <c r="J8" s="23" t="str">
        <f>mid(H7,1,1)</f>
        <v>0</v>
      </c>
      <c r="K8" s="60">
        <f>MID(H7,2,1)+2</f>
        <v>2</v>
      </c>
      <c r="L8" s="60"/>
      <c r="M8" s="23" t="str">
        <f>H6</f>
        <v/>
      </c>
      <c r="N8" s="16"/>
      <c r="O8" s="62">
        <f>P7/2</f>
        <v>1.5</v>
      </c>
      <c r="P8" s="23">
        <f>O7-Q7</f>
        <v>3</v>
      </c>
      <c r="Q8" s="23">
        <f>P8-Q7</f>
        <v>6</v>
      </c>
      <c r="T8" s="57"/>
      <c r="U8" s="57"/>
      <c r="AB8" s="2">
        <v>25.0</v>
      </c>
      <c r="AC8" s="2">
        <v>26.0</v>
      </c>
    </row>
    <row r="9" ht="15.75" customHeight="1">
      <c r="A9" s="2"/>
      <c r="C9" s="63">
        <f t="shared" ref="C9:D9" si="4">A1*B1</f>
        <v>988</v>
      </c>
      <c r="D9" s="64">
        <f t="shared" si="4"/>
        <v>0</v>
      </c>
      <c r="E9" s="65" t="str">
        <f t="shared" ref="E9:E10" si="5">CONCATENATE(left(E2,3), right(E3,2))</f>
        <v>40944</v>
      </c>
      <c r="F9" s="66">
        <f>F8+H8</f>
        <v>0</v>
      </c>
      <c r="G9" s="66" t="str">
        <f>CONCATENATE(MID(E47,2,1))</f>
        <v>7</v>
      </c>
      <c r="H9" s="67" t="str">
        <f>CONCATENATE(MID(E47,3,1))</f>
        <v>2</v>
      </c>
      <c r="I9" s="68">
        <f>MID(H7,1,1)+2</f>
        <v>2</v>
      </c>
      <c r="J9" s="68"/>
      <c r="K9" s="69">
        <f>MID(H7, 2,1)-1</f>
        <v>-1</v>
      </c>
      <c r="L9" s="69"/>
      <c r="M9" s="68" t="str">
        <f>H6</f>
        <v/>
      </c>
      <c r="N9" s="16"/>
      <c r="O9" s="70">
        <f>I9*2</f>
        <v>4</v>
      </c>
      <c r="P9" s="55">
        <f>O9-K9</f>
        <v>5</v>
      </c>
      <c r="Q9" s="55">
        <f>P9+M9</f>
        <v>5</v>
      </c>
      <c r="T9" s="57"/>
      <c r="U9" s="57"/>
      <c r="AB9" s="2">
        <v>123.0</v>
      </c>
      <c r="AC9" s="2">
        <v>33.0</v>
      </c>
    </row>
    <row r="10" ht="15.75" customHeight="1">
      <c r="A10" s="2"/>
      <c r="B10" s="56" t="s">
        <v>9</v>
      </c>
      <c r="C10" s="73">
        <f>B1+C1</f>
        <v>26</v>
      </c>
      <c r="D10" s="73">
        <f>C10*A1</f>
        <v>988</v>
      </c>
      <c r="E10" s="65" t="str">
        <f t="shared" si="5"/>
        <v>9760</v>
      </c>
      <c r="F10" s="74">
        <f>F8+G8</f>
        <v>0</v>
      </c>
      <c r="G10" s="74"/>
      <c r="H10" s="74"/>
      <c r="I10" s="75" t="str">
        <f>MID(H7,2,1)</f>
        <v/>
      </c>
      <c r="J10" s="75"/>
      <c r="K10" s="76">
        <f>MID(H7,1,1)-1</f>
        <v>-1</v>
      </c>
      <c r="L10" s="4"/>
      <c r="M10" s="23">
        <f>G7-1</f>
        <v>-1</v>
      </c>
      <c r="N10" s="16"/>
      <c r="O10" s="62">
        <f t="shared" ref="O10:P10" si="6">O7+2</f>
        <v>2</v>
      </c>
      <c r="P10" s="23">
        <f t="shared" si="6"/>
        <v>5</v>
      </c>
      <c r="Q10" s="23">
        <f>O8</f>
        <v>1.5</v>
      </c>
      <c r="T10" s="57"/>
      <c r="U10" s="11"/>
      <c r="Z10" s="2">
        <f t="shared" ref="Z10:Z11" si="8">AB8+AC8</f>
        <v>51</v>
      </c>
      <c r="AA10" s="2">
        <f>Z10*30</f>
        <v>1530</v>
      </c>
    </row>
    <row r="11" ht="15.75" customHeight="1">
      <c r="C11" s="63">
        <f>A1*B1</f>
        <v>988</v>
      </c>
      <c r="D11" s="73">
        <f>B1+C1</f>
        <v>26</v>
      </c>
      <c r="E11" s="77"/>
      <c r="F11" s="74">
        <f>G8+H8</f>
        <v>0</v>
      </c>
      <c r="G11" s="74"/>
      <c r="H11" s="74"/>
      <c r="I11" s="75">
        <f>MID(H7,1,1)*2</f>
        <v>0</v>
      </c>
      <c r="J11" s="75">
        <f t="shared" ref="J11:J13" si="9">I11-1</f>
        <v>-1</v>
      </c>
      <c r="K11" s="76">
        <f>mid(H7,2,1)/3</f>
        <v>0</v>
      </c>
      <c r="L11" s="4"/>
      <c r="M11" s="14">
        <f>MID(H7,2,1)-H6</f>
        <v>0</v>
      </c>
      <c r="N11" s="16"/>
      <c r="O11" s="62">
        <f t="shared" ref="O11:Q11" si="7">O10-1</f>
        <v>1</v>
      </c>
      <c r="P11" s="23">
        <f t="shared" si="7"/>
        <v>4</v>
      </c>
      <c r="Q11" s="23">
        <f t="shared" si="7"/>
        <v>0.5</v>
      </c>
      <c r="T11" s="57"/>
      <c r="U11" s="11"/>
      <c r="Z11" s="2">
        <f t="shared" si="8"/>
        <v>156</v>
      </c>
      <c r="AA11" s="2">
        <f>Z11*13</f>
        <v>2028</v>
      </c>
    </row>
    <row r="12" ht="15.75" customHeight="1">
      <c r="B12" s="56" t="s">
        <v>13</v>
      </c>
      <c r="C12" s="31" t="str">
        <f>C1</f>
        <v/>
      </c>
      <c r="D12" s="31">
        <f>B1-1</f>
        <v>25</v>
      </c>
      <c r="E12" s="79">
        <f>A1</f>
        <v>38</v>
      </c>
      <c r="F12" s="4"/>
      <c r="G12" s="4"/>
      <c r="H12" s="4"/>
      <c r="I12" s="75" t="str">
        <f>mid(C5,2,1)</f>
        <v>8</v>
      </c>
      <c r="J12" s="75">
        <f t="shared" si="9"/>
        <v>7</v>
      </c>
      <c r="K12" s="80">
        <f>mid(C6,1,1)-C7</f>
        <v>-1</v>
      </c>
      <c r="L12" s="81"/>
      <c r="M12" s="14" t="str">
        <f>mid(C6,1,1)</f>
        <v>8</v>
      </c>
      <c r="N12" s="16"/>
      <c r="O12" s="62">
        <f t="shared" ref="O12:P12" si="10">O11-1</f>
        <v>0</v>
      </c>
      <c r="P12" s="23">
        <f t="shared" si="10"/>
        <v>3</v>
      </c>
      <c r="Q12" s="23">
        <f>Q11+1</f>
        <v>1.5</v>
      </c>
      <c r="T12" s="57"/>
      <c r="U12" s="11"/>
      <c r="Z12" s="38"/>
    </row>
    <row r="13" ht="15.75" customHeight="1">
      <c r="A13" s="82" t="s">
        <v>14</v>
      </c>
      <c r="B13" s="82" t="s">
        <v>15</v>
      </c>
      <c r="C13" s="83">
        <f>D8-1</f>
        <v>0</v>
      </c>
      <c r="D13" s="83">
        <f>D8+C8</f>
        <v>3</v>
      </c>
      <c r="E13" s="84">
        <f>E8</f>
        <v>27</v>
      </c>
      <c r="F13" s="4"/>
      <c r="G13" s="4"/>
      <c r="H13" s="4"/>
      <c r="I13" s="47" t="str">
        <f>mid(C5,1,1)</f>
        <v>3</v>
      </c>
      <c r="J13" s="75">
        <f t="shared" si="9"/>
        <v>2</v>
      </c>
      <c r="K13" s="76" t="str">
        <f>mid(D6,1,1)</f>
        <v>8</v>
      </c>
      <c r="L13" s="48"/>
      <c r="M13" s="86" t="str">
        <f>mid(D6,2,1)</f>
        <v/>
      </c>
      <c r="N13" s="16"/>
      <c r="O13" s="87">
        <f>I7-2</f>
        <v>-2</v>
      </c>
      <c r="P13" s="88">
        <f>K7</f>
        <v>2</v>
      </c>
      <c r="Q13" s="88">
        <f>M7*2</f>
        <v>-4</v>
      </c>
      <c r="T13" s="11"/>
      <c r="U13" s="11"/>
      <c r="Z13" s="2">
        <f>5150</f>
        <v>5150</v>
      </c>
    </row>
    <row r="14" ht="15.75" customHeight="1">
      <c r="A14" s="2">
        <v>25.059928172283335</v>
      </c>
      <c r="B14" s="2">
        <v>107.0</v>
      </c>
      <c r="C14" s="90">
        <f>D12</f>
        <v>25</v>
      </c>
      <c r="D14" s="90">
        <f>D12+E12</f>
        <v>63</v>
      </c>
      <c r="E14" s="91">
        <f>E13-1</f>
        <v>26</v>
      </c>
      <c r="F14" s="92"/>
      <c r="G14" s="92"/>
      <c r="H14" s="92"/>
      <c r="I14" s="4">
        <f>mid(D3,1,1)+mid(D3, 2,1)</f>
        <v>17</v>
      </c>
      <c r="J14" s="4"/>
      <c r="K14" s="76" t="str">
        <f>mid(C3,2,1)</f>
        <v/>
      </c>
      <c r="L14" s="48"/>
      <c r="M14" s="93" t="str">
        <f>mid(C5,1,1)</f>
        <v>3</v>
      </c>
      <c r="N14" s="16"/>
      <c r="O14" s="94">
        <f>MID(H7,1,1)+1</f>
        <v>1</v>
      </c>
      <c r="P14" s="95">
        <f>MID(H7,2,1)+1</f>
        <v>1</v>
      </c>
      <c r="Q14" s="34">
        <f>P14+H6</f>
        <v>1</v>
      </c>
      <c r="Z14" s="2">
        <f>Z13-SUM(AA10:AA11)</f>
        <v>1592</v>
      </c>
    </row>
    <row r="15" ht="15.75" customHeight="1">
      <c r="A15" s="49" t="s">
        <v>16</v>
      </c>
      <c r="B15" s="2"/>
      <c r="C15" s="96"/>
      <c r="D15" s="97"/>
      <c r="F15" s="47" t="str">
        <f>MID(C5,1,1)</f>
        <v>3</v>
      </c>
      <c r="G15" s="47">
        <f>MID(C3,2,1)-mid(D3,1,1)</f>
        <v>-9</v>
      </c>
      <c r="H15" s="47" t="str">
        <f>MID(D3,2,1)</f>
        <v>8</v>
      </c>
      <c r="I15" s="4" t="str">
        <f>mid(G7,2,1)</f>
        <v/>
      </c>
      <c r="J15" s="4"/>
      <c r="K15" s="48">
        <f>MID(G7,1,1)-1</f>
        <v>-1</v>
      </c>
      <c r="L15" s="48"/>
      <c r="M15" s="93" t="str">
        <f>mid(C3,1,1)</f>
        <v>0</v>
      </c>
      <c r="N15" s="98"/>
      <c r="O15" s="94" t="str">
        <f>MID(M10,1,1)</f>
        <v>-</v>
      </c>
      <c r="P15" s="99">
        <f>MID(M10,2,1)+3</f>
        <v>4</v>
      </c>
      <c r="Q15" s="99">
        <f>M11*3</f>
        <v>0</v>
      </c>
    </row>
    <row r="16" ht="24.75" customHeight="1">
      <c r="A16" s="2">
        <v>12.0</v>
      </c>
      <c r="B16" s="2">
        <v>38.0</v>
      </c>
      <c r="C16" s="19">
        <f>E12</f>
        <v>38</v>
      </c>
      <c r="D16" s="19">
        <f>D12</f>
        <v>25</v>
      </c>
      <c r="E16" s="20">
        <f>D13+1</f>
        <v>4</v>
      </c>
      <c r="F16" s="101" t="str">
        <f>MID(I16,1,1)</f>
        <v/>
      </c>
      <c r="G16" s="101" t="str">
        <f>MID(I16,2,1)</f>
        <v/>
      </c>
      <c r="H16" s="101" t="str">
        <f>MID(I16,3,1)</f>
        <v/>
      </c>
      <c r="I16" s="4" t="str">
        <f>MID(G7,2,1)</f>
        <v/>
      </c>
      <c r="J16" s="4"/>
      <c r="K16" s="102">
        <f>MID(G7,1,1)-1</f>
        <v>-1</v>
      </c>
      <c r="L16" s="102"/>
      <c r="M16" s="62">
        <f>G6</f>
        <v>26</v>
      </c>
      <c r="N16" s="16"/>
      <c r="O16" s="103">
        <f>P11</f>
        <v>4</v>
      </c>
      <c r="P16" s="104">
        <f>if(P10=8,5,P10)</f>
        <v>5</v>
      </c>
      <c r="Q16" s="104">
        <f>P12</f>
        <v>3</v>
      </c>
    </row>
    <row r="17" ht="15.75" customHeight="1">
      <c r="A17" s="2">
        <v>35.0</v>
      </c>
      <c r="C17" s="105">
        <f>C16</f>
        <v>38</v>
      </c>
      <c r="D17" s="105">
        <f>C16-D16</f>
        <v>13</v>
      </c>
      <c r="E17" s="106">
        <f>E16</f>
        <v>4</v>
      </c>
      <c r="F17" s="107">
        <f>MID(C3,1,1)+1</f>
        <v>1</v>
      </c>
      <c r="G17" s="74">
        <f>mid(C3,2,1) + mid(D3,1,1)</f>
        <v>9</v>
      </c>
      <c r="H17" s="74">
        <f>mid(D3,2,1)-1</f>
        <v>7</v>
      </c>
      <c r="I17" s="109" t="str">
        <f>mid(D5,3,1)</f>
        <v>6</v>
      </c>
      <c r="J17" s="109"/>
      <c r="M17" s="62" t="str">
        <f>mid(D6,2,1)</f>
        <v/>
      </c>
      <c r="N17" s="110"/>
      <c r="O17" s="111"/>
      <c r="P17" s="112"/>
      <c r="Q17" s="112"/>
    </row>
    <row r="18" ht="21.0" customHeight="1">
      <c r="A18" s="22">
        <f>ABs(A16-B16)</f>
        <v>26</v>
      </c>
      <c r="B18" s="22"/>
      <c r="C18" s="29"/>
      <c r="D18" s="29"/>
      <c r="E18" s="29"/>
      <c r="F18" s="113"/>
      <c r="G18" s="113"/>
      <c r="H18" s="114"/>
      <c r="I18" s="30">
        <f>I16/2</f>
        <v>0</v>
      </c>
      <c r="J18" s="30"/>
      <c r="K18" s="30">
        <f>K10</f>
        <v>-1</v>
      </c>
      <c r="L18" s="30"/>
      <c r="M18" s="115">
        <f>M16+1</f>
        <v>27</v>
      </c>
      <c r="N18" s="16"/>
      <c r="O18" s="16"/>
    </row>
    <row r="19" ht="15.75" customHeight="1">
      <c r="A19" s="2">
        <f>abs(A17-B16)</f>
        <v>3</v>
      </c>
      <c r="C19" s="29"/>
      <c r="D19" s="29"/>
      <c r="E19" s="29"/>
      <c r="F19" s="116"/>
      <c r="G19" s="116"/>
      <c r="H19" s="117"/>
      <c r="I19" s="3">
        <f>I9</f>
        <v>2</v>
      </c>
      <c r="J19" s="3"/>
      <c r="K19" s="118" t="str">
        <f>I10</f>
        <v/>
      </c>
      <c r="L19" s="118"/>
      <c r="M19" s="16">
        <f>I11-1</f>
        <v>-1</v>
      </c>
      <c r="N19" s="119"/>
      <c r="O19" s="119" t="s">
        <v>18</v>
      </c>
      <c r="P19" s="2" t="str">
        <f>CONCATENATE(P14,O14,O15)</f>
        <v>11-</v>
      </c>
      <c r="R19" s="2" t="str">
        <f>P19*P20</f>
        <v>#VALUE!</v>
      </c>
      <c r="T19" s="122" t="str">
        <f>P19+Q19</f>
        <v>#VALUE!</v>
      </c>
      <c r="U19" s="2" t="str">
        <f>R19</f>
        <v>#VALUE!</v>
      </c>
      <c r="V19" s="2" t="str">
        <f>Q19</f>
        <v/>
      </c>
    </row>
    <row r="20" ht="15.75" customHeight="1">
      <c r="A20" s="2">
        <f>A18+A19</f>
        <v>29</v>
      </c>
      <c r="F20" s="116">
        <f>G17</f>
        <v>9</v>
      </c>
      <c r="G20" s="116">
        <f>F17</f>
        <v>1</v>
      </c>
      <c r="H20" s="117">
        <f>H17</f>
        <v>7</v>
      </c>
      <c r="I20" s="3">
        <f>MID(H7,1,1)+MID(H7,2,1)</f>
        <v>0</v>
      </c>
      <c r="J20" s="3"/>
      <c r="K20" s="3"/>
      <c r="L20" s="3"/>
      <c r="M20" s="16" t="str">
        <f>H6</f>
        <v/>
      </c>
      <c r="N20" s="119"/>
      <c r="O20" s="119" t="s">
        <v>19</v>
      </c>
      <c r="P20" s="2" t="str">
        <f>CONCATENATE(data!N17,data!N16,data!O16)</f>
        <v>4-4</v>
      </c>
      <c r="Q20" s="2" t="str">
        <f>CONCATENATE(O14,O15+1,O16)</f>
        <v>#VALUE!</v>
      </c>
      <c r="R20" s="2" t="str">
        <f>SQRTPI(R19)</f>
        <v>#VALUE!</v>
      </c>
    </row>
    <row r="21" ht="15.75" customHeight="1">
      <c r="A21" s="2">
        <f>A19*A18</f>
        <v>78</v>
      </c>
      <c r="C21" s="29"/>
      <c r="D21" s="29"/>
      <c r="E21" s="123" t="s">
        <v>20</v>
      </c>
      <c r="F21" s="116" t="str">
        <f>I5</f>
        <v/>
      </c>
      <c r="G21" s="116">
        <f>K5+1</f>
        <v>-7</v>
      </c>
      <c r="H21" s="124">
        <f>M5-1</f>
        <v>10</v>
      </c>
      <c r="I21" s="3"/>
      <c r="J21" s="3"/>
      <c r="K21" s="3"/>
      <c r="L21" s="3"/>
      <c r="M21" s="16"/>
      <c r="N21" s="119"/>
      <c r="O21" s="119" t="s">
        <v>19</v>
      </c>
      <c r="P21" s="2" t="str">
        <f>concatenate(I12-1, I13,  I14)</f>
        <v>7317</v>
      </c>
    </row>
    <row r="22" ht="15.75" customHeight="1">
      <c r="C22" s="29"/>
      <c r="D22" s="29"/>
      <c r="E22" s="29"/>
      <c r="F22" s="116">
        <f>I4-1</f>
        <v>7</v>
      </c>
      <c r="G22" s="116">
        <f>K4-1</f>
        <v>1</v>
      </c>
      <c r="H22" s="116" t="str">
        <f>M4</f>
        <v>8</v>
      </c>
      <c r="I22" s="125"/>
      <c r="J22" s="125"/>
      <c r="K22" s="3"/>
      <c r="L22" s="3"/>
      <c r="M22" s="119"/>
      <c r="N22" s="119"/>
      <c r="O22" s="119" t="s">
        <v>19</v>
      </c>
      <c r="P22" s="2">
        <f>M18</f>
        <v>27</v>
      </c>
    </row>
    <row r="23" ht="15.75" customHeight="1">
      <c r="B23" s="126"/>
      <c r="C23" s="127"/>
      <c r="D23" s="127"/>
      <c r="E23" s="128" t="s">
        <v>22</v>
      </c>
      <c r="G23" s="130">
        <f>K1-1</f>
        <v>7</v>
      </c>
      <c r="H23" s="123">
        <f>H22/F25</f>
        <v>1.142857143</v>
      </c>
      <c r="I23" s="131"/>
      <c r="J23" s="131"/>
      <c r="K23" s="129"/>
      <c r="L23" s="129"/>
      <c r="M23" s="119"/>
      <c r="N23" s="119"/>
      <c r="O23" s="119"/>
      <c r="P23" s="2" t="str">
        <f>CONCATENATE(Q16-P16,P16,O17)</f>
        <v>-25</v>
      </c>
      <c r="R23" s="2">
        <f>Q22-Q23</f>
        <v>0</v>
      </c>
    </row>
    <row r="24" ht="15.75" customHeight="1">
      <c r="B24" s="126"/>
      <c r="C24" s="132"/>
      <c r="D24" s="132"/>
      <c r="E24" s="133"/>
      <c r="F24" s="116">
        <f>I5+1</f>
        <v>1</v>
      </c>
      <c r="G24" s="116">
        <f>F24+K5</f>
        <v>-7</v>
      </c>
      <c r="H24" s="116">
        <f>K5+M5</f>
        <v>3</v>
      </c>
      <c r="I24" s="125" t="s">
        <v>24</v>
      </c>
      <c r="J24" s="125"/>
      <c r="K24" s="134" t="str">
        <f>CONCATENATE(mid(I34,1,1),mid(I34,2,1),mid(I34,3,1)-2)  </f>
        <v>105</v>
      </c>
      <c r="L24" s="134"/>
      <c r="M24" s="119"/>
      <c r="N24" s="119"/>
      <c r="O24" s="119"/>
      <c r="P24" s="2"/>
      <c r="R24" s="2">
        <f>R23*Q24</f>
        <v>0</v>
      </c>
    </row>
    <row r="25" ht="15.75" customHeight="1">
      <c r="B25" s="135"/>
      <c r="C25" s="136"/>
      <c r="D25" s="136"/>
      <c r="E25" s="133"/>
      <c r="F25" s="130">
        <f>F22-D36</f>
        <v>7</v>
      </c>
      <c r="G25" s="116">
        <f>K9</f>
        <v>-1</v>
      </c>
      <c r="H25" s="137">
        <f>0</f>
        <v>0</v>
      </c>
      <c r="I25" s="125"/>
      <c r="J25" s="125"/>
      <c r="K25" s="138" t="str">
        <f>CONCATENATE(mid(I34,1,1),mid(I34,2,1),mid(I34,3,1)/2)  </f>
        <v>103.5</v>
      </c>
      <c r="L25" s="138"/>
    </row>
    <row r="26" ht="15.75" customHeight="1">
      <c r="B26" s="126"/>
      <c r="C26" s="126"/>
      <c r="D26" s="126"/>
      <c r="E26" s="139"/>
      <c r="F26" s="116">
        <f>H24-1</f>
        <v>2</v>
      </c>
      <c r="G26" s="116">
        <f>G24</f>
        <v>-7</v>
      </c>
      <c r="H26" s="116">
        <f>H24+G24</f>
        <v>-4</v>
      </c>
      <c r="I26" s="125" t="s">
        <v>27</v>
      </c>
      <c r="J26" s="125"/>
      <c r="V26" s="2">
        <v>481.0</v>
      </c>
      <c r="Y26" s="2">
        <f>SQRTPI(V26)</f>
        <v>38.87294774</v>
      </c>
    </row>
    <row r="27" ht="15.75" customHeight="1">
      <c r="B27" s="126"/>
      <c r="C27" s="126"/>
      <c r="D27" s="126" t="str">
        <f>sqft(629)</f>
        <v>#NAME?</v>
      </c>
      <c r="E27" s="2" t="s">
        <v>28</v>
      </c>
      <c r="F27" s="140">
        <f>0</f>
        <v>0</v>
      </c>
      <c r="G27" s="140">
        <f>G26</f>
        <v>-7</v>
      </c>
      <c r="H27" s="141">
        <f>F26-1</f>
        <v>1</v>
      </c>
      <c r="I27" s="28" t="s">
        <v>29</v>
      </c>
      <c r="J27" s="28"/>
      <c r="K27" s="142" t="str">
        <f>CONCATENATE(A1+1,B1+1,C1+1)</f>
        <v>39271</v>
      </c>
      <c r="L27" s="142"/>
      <c r="M27" s="143" t="str">
        <f>Concatenate(MID(K27,4,1)-MID(K27,3,1),MID(K27,2,1),MID(K27,1,1))</f>
        <v>593</v>
      </c>
      <c r="N27" s="38"/>
      <c r="O27" s="38"/>
      <c r="P27" s="2"/>
      <c r="S27" s="144"/>
    </row>
    <row r="28" ht="15.75" customHeight="1">
      <c r="B28" s="126"/>
      <c r="C28" s="126"/>
      <c r="D28" s="126"/>
      <c r="E28" s="145" t="s">
        <v>30</v>
      </c>
      <c r="F28" s="146" t="str">
        <f>F21</f>
        <v/>
      </c>
      <c r="H28" s="146">
        <f>G21</f>
        <v>-7</v>
      </c>
      <c r="I28" s="147"/>
      <c r="J28" s="148"/>
      <c r="K28" s="125" t="s">
        <v>34</v>
      </c>
      <c r="L28" s="125"/>
      <c r="M28" s="149"/>
      <c r="N28" s="150"/>
      <c r="O28" s="38"/>
      <c r="U28" s="151"/>
      <c r="V28" s="151"/>
      <c r="W28" s="151"/>
      <c r="X28" s="151"/>
    </row>
    <row r="29" ht="15.75" customHeight="1">
      <c r="B29" s="152"/>
      <c r="C29" s="152"/>
      <c r="D29" s="152"/>
      <c r="E29" s="153"/>
      <c r="F29" s="146">
        <f>C29-B1</f>
        <v>-26</v>
      </c>
      <c r="G29" s="146">
        <f>F29+1</f>
        <v>-25</v>
      </c>
      <c r="H29" s="146" t="str">
        <f>D29</f>
        <v/>
      </c>
      <c r="I29" s="3"/>
      <c r="J29" s="3"/>
      <c r="K29" s="154"/>
      <c r="L29" s="154"/>
      <c r="M29" s="38"/>
      <c r="N29" s="38"/>
      <c r="O29" s="38"/>
      <c r="X29" s="151"/>
      <c r="Y29" s="151"/>
    </row>
    <row r="30" ht="36.0" customHeight="1">
      <c r="B30" s="135"/>
      <c r="C30" s="135"/>
      <c r="D30" s="135"/>
      <c r="E30" s="145" t="s">
        <v>30</v>
      </c>
      <c r="F30" s="146" t="str">
        <f>#REF!</f>
        <v>#REF!</v>
      </c>
      <c r="G30" s="146">
        <f>G25-1</f>
        <v>-2</v>
      </c>
      <c r="H30" s="146">
        <f>H25+2</f>
        <v>2</v>
      </c>
      <c r="I30" s="44" t="s">
        <v>35</v>
      </c>
      <c r="J30" s="44"/>
      <c r="K30" s="156" t="str">
        <f>CONCATENATE(mid(I34,1,1),mid(I34,2,1),mid(I34,3,1)+2)  </f>
        <v>109</v>
      </c>
      <c r="L30" s="156"/>
      <c r="M30" s="38"/>
      <c r="N30" s="38"/>
      <c r="O30" s="38"/>
      <c r="X30" s="151"/>
    </row>
    <row r="31" ht="15.75" customHeight="1">
      <c r="B31" s="126"/>
      <c r="C31" s="126"/>
      <c r="D31" s="126"/>
      <c r="E31" s="145" t="s">
        <v>30</v>
      </c>
      <c r="F31" s="158">
        <f t="shared" ref="F31:G31" si="11">C26+2</f>
        <v>2</v>
      </c>
      <c r="G31" s="158">
        <f t="shared" si="11"/>
        <v>2</v>
      </c>
      <c r="H31" s="146">
        <f>E26+1</f>
        <v>1</v>
      </c>
      <c r="I31" s="3"/>
      <c r="J31" s="3"/>
      <c r="K31" s="134" t="str">
        <f>CONCATENATE(mid(I34,3,1)+2,mid(I34,2,1),mid(I34,1,1))  </f>
        <v>901</v>
      </c>
      <c r="L31" s="134"/>
      <c r="M31" s="159"/>
      <c r="N31" s="38"/>
      <c r="O31" s="38"/>
      <c r="S31" s="11"/>
      <c r="U31" s="151"/>
      <c r="V31" s="151"/>
      <c r="W31" s="151"/>
      <c r="X31" s="151"/>
    </row>
    <row r="32" ht="15.75" customHeight="1">
      <c r="B32" s="160"/>
      <c r="C32" s="160"/>
      <c r="D32" s="160"/>
      <c r="E32" s="2" t="str">
        <f>CONCATENATE(B32+MID(C32,1,1),MID(C32,2,1))</f>
        <v>0</v>
      </c>
      <c r="F32" s="163">
        <f>O9-1</f>
        <v>3</v>
      </c>
      <c r="G32" s="163">
        <f>F32+1</f>
        <v>4</v>
      </c>
      <c r="H32" s="163">
        <f>Q9</f>
        <v>5</v>
      </c>
      <c r="I32" s="3"/>
      <c r="J32" s="3"/>
      <c r="K32" s="161"/>
      <c r="L32" s="161"/>
      <c r="M32" s="146"/>
      <c r="N32" s="146" t="str">
        <f>U9</f>
        <v/>
      </c>
      <c r="O32" s="38"/>
      <c r="X32" s="151"/>
      <c r="Y32" s="151"/>
    </row>
    <row r="33" ht="15.75" customHeight="1">
      <c r="A33" s="2" t="s">
        <v>38</v>
      </c>
      <c r="B33" s="160">
        <f>D17</f>
        <v>13</v>
      </c>
      <c r="C33" s="160"/>
      <c r="D33" s="160"/>
      <c r="E33" s="162" t="s">
        <v>36</v>
      </c>
      <c r="F33" s="167">
        <f>F22-1</f>
        <v>6</v>
      </c>
      <c r="G33" s="167">
        <f t="shared" ref="G33:H33" si="12">G22</f>
        <v>1</v>
      </c>
      <c r="H33" s="167" t="str">
        <f t="shared" si="12"/>
        <v>8</v>
      </c>
      <c r="I33" s="44" t="str">
        <f t="shared" ref="I33:I35" si="13">CONCATENATE(F33,G33,H33)</f>
        <v>618</v>
      </c>
      <c r="J33" s="44"/>
      <c r="K33" s="164" t="s">
        <v>37</v>
      </c>
      <c r="L33" s="164"/>
      <c r="M33" s="38"/>
      <c r="N33" s="38"/>
      <c r="O33" s="38"/>
      <c r="X33" s="151"/>
    </row>
    <row r="34" ht="15.75" customHeight="1">
      <c r="B34" s="165"/>
      <c r="C34" s="165"/>
      <c r="D34" s="165"/>
      <c r="E34" s="166" t="s">
        <v>39</v>
      </c>
      <c r="F34" s="14">
        <f>G22</f>
        <v>1</v>
      </c>
      <c r="G34" s="14">
        <f>F27</f>
        <v>0</v>
      </c>
      <c r="H34" s="14">
        <f>G23</f>
        <v>7</v>
      </c>
      <c r="I34" s="125" t="str">
        <f t="shared" si="13"/>
        <v>107</v>
      </c>
      <c r="J34" s="125"/>
      <c r="K34" s="169" t="s">
        <v>41</v>
      </c>
      <c r="L34" s="169"/>
      <c r="M34" s="38"/>
      <c r="N34" s="38"/>
      <c r="O34" s="38"/>
      <c r="U34" s="151"/>
      <c r="V34" s="151"/>
      <c r="W34" s="151"/>
      <c r="X34" s="151"/>
    </row>
    <row r="35" ht="15.75" customHeight="1">
      <c r="B35" s="170"/>
      <c r="C35" s="170"/>
      <c r="D35" s="170"/>
      <c r="E35" s="168"/>
      <c r="F35" s="171"/>
      <c r="G35" s="171"/>
      <c r="H35" s="171"/>
      <c r="I35" s="125" t="str">
        <f t="shared" si="13"/>
        <v/>
      </c>
      <c r="J35" s="125"/>
      <c r="K35" s="172" t="s">
        <v>42</v>
      </c>
      <c r="L35" s="164"/>
      <c r="M35" s="38"/>
      <c r="N35" s="38"/>
      <c r="O35" s="38"/>
      <c r="P35" s="2">
        <v>813.0</v>
      </c>
      <c r="W35" s="155"/>
      <c r="X35" s="155"/>
    </row>
    <row r="36" ht="15.75" customHeight="1">
      <c r="B36" s="170"/>
      <c r="C36" s="170"/>
      <c r="D36" s="170"/>
      <c r="E36" s="173" t="s">
        <v>43</v>
      </c>
      <c r="F36" s="146">
        <f>2</f>
        <v>2</v>
      </c>
      <c r="G36" s="146">
        <f t="shared" ref="G36:H36" si="14">F24+1</f>
        <v>2</v>
      </c>
      <c r="H36" s="146">
        <f t="shared" si="14"/>
        <v>-6</v>
      </c>
      <c r="I36" s="174"/>
      <c r="J36" s="174"/>
      <c r="K36" s="175" t="s">
        <v>44</v>
      </c>
      <c r="L36" s="175"/>
      <c r="M36" s="38"/>
      <c r="N36" s="132"/>
      <c r="O36" s="132"/>
      <c r="P36" s="2">
        <v>904.0</v>
      </c>
      <c r="S36" s="144"/>
    </row>
    <row r="37" ht="15.75" customHeight="1">
      <c r="B37" s="170"/>
      <c r="C37" s="170"/>
      <c r="D37" s="170"/>
      <c r="E37" s="168"/>
      <c r="F37" s="31" t="str">
        <f>E25</f>
        <v/>
      </c>
      <c r="G37" s="177" t="str">
        <f>E24</f>
        <v/>
      </c>
      <c r="H37" s="177" t="str">
        <f>E23</f>
        <v>check this option for middle digit</v>
      </c>
      <c r="I37" s="178" t="str">
        <f t="shared" ref="I37:I38" si="15">CONCATENATE(F37,G37,H37)</f>
        <v>check this option for middle digit</v>
      </c>
      <c r="J37" s="178"/>
      <c r="K37" s="179" t="s">
        <v>45</v>
      </c>
      <c r="L37" s="179"/>
      <c r="M37" s="180"/>
      <c r="N37" s="181"/>
      <c r="O37" s="181"/>
      <c r="W37" s="11"/>
    </row>
    <row r="38" ht="15.75" customHeight="1">
      <c r="B38" s="182"/>
      <c r="C38" s="168"/>
      <c r="D38" s="168"/>
      <c r="E38" s="168"/>
      <c r="F38" s="146" t="str">
        <f>H37</f>
        <v>check this option for middle digit</v>
      </c>
      <c r="G38" s="183" t="str">
        <f>G37</f>
        <v/>
      </c>
      <c r="H38" s="183" t="str">
        <f>F37</f>
        <v/>
      </c>
      <c r="I38" s="3" t="str">
        <f t="shared" si="15"/>
        <v>check this option for middle digit</v>
      </c>
      <c r="J38" s="3"/>
      <c r="K38" s="184"/>
      <c r="L38" s="184"/>
      <c r="M38" s="180"/>
      <c r="N38" s="180"/>
      <c r="O38" s="180"/>
      <c r="P38" s="180"/>
      <c r="Q38" s="180"/>
      <c r="R38" s="180"/>
      <c r="S38" s="180"/>
    </row>
    <row r="39" ht="15.75" customHeight="1">
      <c r="B39" s="168"/>
      <c r="C39" s="168"/>
      <c r="D39" s="168"/>
      <c r="E39" s="168"/>
      <c r="F39" s="146" t="str">
        <f>F38</f>
        <v>check this option for middle digit</v>
      </c>
      <c r="G39" s="183" t="str">
        <f>F39-G38</f>
        <v>#VALUE!</v>
      </c>
      <c r="H39" s="183">
        <f>H38-H38</f>
        <v>0</v>
      </c>
      <c r="J39" s="152"/>
      <c r="K39" s="184"/>
      <c r="L39" s="184"/>
      <c r="M39" s="185"/>
      <c r="N39" s="180"/>
      <c r="O39" s="180"/>
    </row>
    <row r="40" ht="15.75" customHeight="1">
      <c r="B40" s="168"/>
      <c r="C40" s="168"/>
      <c r="D40" s="168"/>
      <c r="E40" s="168"/>
      <c r="F40" s="21" t="str">
        <f>E29</f>
        <v/>
      </c>
      <c r="G40" s="187" t="str">
        <f>E31</f>
        <v>check this color for first digit or last digit</v>
      </c>
      <c r="H40" s="187" t="str">
        <f>E30</f>
        <v>check this color for first digit or last digit</v>
      </c>
      <c r="I40" s="188"/>
      <c r="J40" s="189"/>
      <c r="K40" s="134" t="str">
        <f>CONCATENATE(A1+1,B1-1,C1-1)</f>
        <v>3925-1</v>
      </c>
      <c r="L40" s="134"/>
      <c r="M40" s="190" t="str">
        <f>CONCATENATE(MID(K40,1,1),MID(K40,2,1),MID(K40,4,1))</f>
        <v>395</v>
      </c>
      <c r="N40" s="180"/>
      <c r="O40" s="180"/>
      <c r="P40" s="180"/>
      <c r="Q40" s="180"/>
      <c r="R40" s="180"/>
      <c r="S40" s="180"/>
    </row>
    <row r="41" ht="15.75" customHeight="1">
      <c r="B41" s="168"/>
      <c r="C41" s="168"/>
      <c r="D41" s="168"/>
      <c r="E41" s="168"/>
      <c r="F41" s="2">
        <v>1.0</v>
      </c>
      <c r="G41" s="191"/>
      <c r="H41" s="191"/>
      <c r="I41" s="188"/>
      <c r="J41" s="189"/>
      <c r="K41" s="184" t="s">
        <v>47</v>
      </c>
      <c r="L41" s="184"/>
      <c r="M41" s="190"/>
      <c r="N41" s="180"/>
      <c r="O41" s="180"/>
      <c r="P41" s="180"/>
      <c r="Q41" s="180"/>
      <c r="R41" s="180"/>
      <c r="S41" s="180"/>
    </row>
    <row r="42" ht="15.75" customHeight="1">
      <c r="B42" s="170"/>
      <c r="C42" s="170"/>
      <c r="D42" s="170"/>
      <c r="E42" s="168"/>
      <c r="F42" s="2">
        <f>G34</f>
        <v>0</v>
      </c>
      <c r="G42" s="191">
        <f>F34</f>
        <v>1</v>
      </c>
      <c r="H42" s="191">
        <f>H34</f>
        <v>7</v>
      </c>
      <c r="I42" s="147"/>
      <c r="J42" s="152"/>
      <c r="K42" s="193" t="s">
        <v>48</v>
      </c>
      <c r="L42" s="198"/>
      <c r="M42" s="194">
        <v>787.0</v>
      </c>
      <c r="N42" s="180"/>
      <c r="O42" s="180"/>
      <c r="P42" s="180"/>
      <c r="Q42" s="180"/>
      <c r="R42" s="180"/>
      <c r="S42" s="180"/>
    </row>
    <row r="43" ht="15.75" customHeight="1">
      <c r="A43" s="195"/>
      <c r="B43" s="168"/>
      <c r="C43" s="168"/>
      <c r="D43" s="168"/>
      <c r="E43" s="168"/>
      <c r="G43" s="191"/>
      <c r="H43" s="191"/>
      <c r="I43" s="188"/>
      <c r="J43" s="189"/>
      <c r="K43" s="184"/>
      <c r="L43" s="184"/>
      <c r="M43" s="190"/>
      <c r="N43" s="180"/>
      <c r="O43" s="180"/>
      <c r="P43" s="180"/>
      <c r="Q43" s="180"/>
      <c r="R43" s="180"/>
      <c r="S43" s="180"/>
    </row>
    <row r="44" ht="15.75" customHeight="1">
      <c r="B44" s="168"/>
      <c r="C44" s="168"/>
      <c r="D44" s="168"/>
      <c r="E44" s="168">
        <f>52</f>
        <v>52</v>
      </c>
      <c r="F44" s="196" t="str">
        <f>F39</f>
        <v>check this option for middle digit</v>
      </c>
      <c r="G44" s="197" t="str">
        <f>G39+1</f>
        <v>#VALUE!</v>
      </c>
      <c r="H44" s="197" t="str">
        <f>H38/D36</f>
        <v>#DIV/0!</v>
      </c>
      <c r="I44" s="188"/>
      <c r="J44" s="189"/>
      <c r="K44" s="184"/>
      <c r="L44" s="184"/>
      <c r="M44" s="190"/>
      <c r="N44" s="180"/>
      <c r="O44" s="180"/>
      <c r="P44" s="180"/>
      <c r="Q44" s="180"/>
      <c r="R44" s="180"/>
      <c r="S44" s="180"/>
    </row>
    <row r="45" ht="15.75" customHeight="1">
      <c r="B45" s="168"/>
      <c r="C45" s="168"/>
      <c r="D45" s="168"/>
      <c r="E45" s="168"/>
      <c r="G45" s="191"/>
      <c r="H45" s="191"/>
      <c r="I45" s="188"/>
      <c r="J45" s="189"/>
      <c r="K45" s="184"/>
      <c r="L45" s="184"/>
      <c r="M45" s="190"/>
      <c r="N45" s="132"/>
      <c r="O45" s="180"/>
      <c r="P45" s="180"/>
      <c r="Q45" s="180"/>
      <c r="R45" s="180"/>
      <c r="S45" s="180"/>
    </row>
    <row r="46" ht="15.75" customHeight="1">
      <c r="B46" s="168"/>
      <c r="C46" s="168"/>
      <c r="D46" s="168">
        <v>44.0</v>
      </c>
      <c r="E46" s="168"/>
      <c r="F46" s="2">
        <v>995.0</v>
      </c>
      <c r="G46" s="191"/>
      <c r="H46" s="191"/>
      <c r="I46" s="126"/>
      <c r="J46" s="126"/>
      <c r="K46" s="184"/>
      <c r="L46" s="184"/>
      <c r="M46" s="190"/>
      <c r="N46" s="132"/>
      <c r="O46" s="180"/>
      <c r="P46" s="180"/>
      <c r="Q46" s="180"/>
      <c r="R46" s="180"/>
      <c r="S46" s="180"/>
    </row>
    <row r="47" ht="15.75" customHeight="1">
      <c r="B47" s="168"/>
      <c r="C47" s="168"/>
      <c r="D47" s="173" t="s">
        <v>50</v>
      </c>
      <c r="E47" s="199">
        <v>272.0</v>
      </c>
      <c r="G47" s="191"/>
      <c r="H47" s="191"/>
      <c r="I47" s="126">
        <v>914.0</v>
      </c>
      <c r="J47" s="126"/>
      <c r="K47" s="184"/>
      <c r="L47" s="184"/>
      <c r="M47" s="191">
        <v>132.0</v>
      </c>
      <c r="N47" s="132"/>
      <c r="O47" s="180"/>
      <c r="P47" s="132"/>
      <c r="Q47" s="132"/>
      <c r="R47" s="132"/>
      <c r="S47" s="132"/>
      <c r="V47" s="10"/>
      <c r="W47" s="10"/>
      <c r="X47" s="10"/>
    </row>
    <row r="48" ht="15.75" customHeight="1">
      <c r="B48" s="168"/>
      <c r="C48" s="168"/>
      <c r="D48" s="168">
        <v>87.0</v>
      </c>
      <c r="E48" s="168"/>
      <c r="G48" s="185"/>
      <c r="H48" s="185"/>
      <c r="I48" s="191"/>
      <c r="J48" s="191"/>
      <c r="K48" s="200"/>
      <c r="L48" s="200"/>
      <c r="M48" s="190">
        <v>163.0</v>
      </c>
      <c r="N48" s="185"/>
      <c r="O48" s="180"/>
      <c r="P48" s="185"/>
      <c r="Q48" s="185"/>
      <c r="R48" s="185"/>
      <c r="S48" s="185"/>
    </row>
    <row r="49" ht="15.75" customHeight="1">
      <c r="B49" s="168"/>
      <c r="C49" s="168"/>
      <c r="D49" s="168">
        <v>94.0</v>
      </c>
      <c r="E49" s="168"/>
      <c r="F49" s="2">
        <v>94.0</v>
      </c>
      <c r="G49" s="191">
        <v>49.0</v>
      </c>
      <c r="H49" s="191">
        <v>13.0</v>
      </c>
      <c r="I49" s="188">
        <v>68.0</v>
      </c>
      <c r="J49" s="188"/>
      <c r="K49" s="200"/>
      <c r="L49" s="200"/>
      <c r="M49" s="190"/>
      <c r="N49" s="185"/>
      <c r="O49" s="180"/>
      <c r="P49" s="185"/>
      <c r="Q49" s="185"/>
      <c r="R49" s="185"/>
      <c r="S49" s="185"/>
    </row>
    <row r="50" ht="15.75" customHeight="1">
      <c r="B50" s="168"/>
      <c r="C50" s="168"/>
      <c r="D50" s="168"/>
      <c r="E50" s="168"/>
      <c r="G50" s="191"/>
      <c r="H50" s="191"/>
      <c r="I50" s="188"/>
      <c r="J50" s="188"/>
      <c r="K50" s="200"/>
      <c r="L50" s="200"/>
      <c r="M50" s="191"/>
      <c r="N50" s="185"/>
      <c r="O50" s="180"/>
      <c r="P50" s="185"/>
      <c r="Q50" s="185"/>
      <c r="R50" s="185"/>
      <c r="S50" s="185"/>
    </row>
    <row r="51" ht="15.75" customHeight="1">
      <c r="B51" s="168"/>
      <c r="C51" s="168"/>
      <c r="D51" s="168"/>
      <c r="E51" s="168"/>
      <c r="F51" s="2">
        <v>42.0</v>
      </c>
      <c r="G51" s="191">
        <v>82.0</v>
      </c>
      <c r="H51" s="191">
        <v>9.0</v>
      </c>
      <c r="I51" s="188">
        <v>57.0</v>
      </c>
      <c r="J51" s="188"/>
      <c r="K51" s="200"/>
      <c r="L51" s="200"/>
      <c r="M51" s="191"/>
      <c r="N51" s="185"/>
      <c r="O51" s="180"/>
      <c r="P51" s="185"/>
      <c r="Q51" s="185"/>
      <c r="R51" s="185"/>
      <c r="S51" s="185"/>
    </row>
    <row r="52" ht="15.75" customHeight="1">
      <c r="B52" s="168"/>
      <c r="C52" s="168"/>
      <c r="D52" s="168"/>
      <c r="E52" s="168"/>
      <c r="G52" s="191"/>
      <c r="H52" s="191"/>
      <c r="I52" s="191"/>
      <c r="J52" s="191"/>
      <c r="K52" s="200"/>
      <c r="L52" s="200"/>
      <c r="M52" s="191"/>
      <c r="O52" s="180"/>
    </row>
    <row r="53" ht="15.75" customHeight="1">
      <c r="B53" s="201"/>
      <c r="C53" s="201"/>
      <c r="D53" s="201"/>
      <c r="E53" s="168"/>
      <c r="G53" s="191"/>
      <c r="H53" s="191"/>
      <c r="K53" s="200"/>
      <c r="L53" s="200"/>
      <c r="M53" s="191"/>
      <c r="O53" s="180"/>
      <c r="R53" s="2"/>
    </row>
    <row r="54" ht="15.75" customHeight="1">
      <c r="A54" s="2" t="s">
        <v>51</v>
      </c>
      <c r="B54" s="192"/>
      <c r="C54" s="192"/>
      <c r="D54" s="192"/>
      <c r="G54" s="191">
        <v>7452.0</v>
      </c>
      <c r="H54" s="191"/>
      <c r="K54" s="200"/>
      <c r="L54" s="200"/>
      <c r="M54" s="191"/>
      <c r="O54" s="180"/>
    </row>
    <row r="55" ht="15.75" customHeight="1">
      <c r="A55" s="2" t="s">
        <v>52</v>
      </c>
      <c r="B55" s="192" t="str">
        <f>D54</f>
        <v/>
      </c>
      <c r="C55" s="192"/>
      <c r="D55" s="192"/>
      <c r="I55" s="2"/>
      <c r="J55" s="2"/>
      <c r="K55" s="169"/>
      <c r="L55" s="169"/>
      <c r="O55" s="132"/>
    </row>
    <row r="56" ht="15.75" customHeight="1">
      <c r="A56" s="2" t="s">
        <v>53</v>
      </c>
      <c r="G56" s="191"/>
      <c r="H56" s="2">
        <v>613.0</v>
      </c>
      <c r="K56" s="169"/>
      <c r="L56" s="169"/>
    </row>
    <row r="57" ht="15.75" customHeight="1">
      <c r="G57" s="191"/>
      <c r="J57" s="2">
        <v>470.0</v>
      </c>
      <c r="K57" s="169">
        <f>SQRTPI(J57)</f>
        <v>38.42588382</v>
      </c>
      <c r="L57" s="169"/>
    </row>
    <row r="58" ht="15.75" customHeight="1">
      <c r="E58" s="2">
        <f>745-391</f>
        <v>354</v>
      </c>
      <c r="K58" s="169">
        <f>J57*J57</f>
        <v>220900</v>
      </c>
      <c r="L58" s="169"/>
    </row>
    <row r="59" ht="15.75" customHeight="1">
      <c r="K59" s="169">
        <f>382*382</f>
        <v>145924</v>
      </c>
      <c r="L59" s="169"/>
    </row>
    <row r="60" ht="15.75" customHeight="1">
      <c r="A60" s="2">
        <f>37-19</f>
        <v>18</v>
      </c>
      <c r="K60" s="169"/>
      <c r="L60" s="169"/>
    </row>
    <row r="61" ht="15.75" customHeight="1">
      <c r="E61" s="2">
        <f>662-488</f>
        <v>174</v>
      </c>
      <c r="I61" s="2">
        <f>SQRTPI(J57)*0.1233211111</f>
        <v>4.738722687</v>
      </c>
      <c r="K61" s="169"/>
      <c r="L61" s="169"/>
    </row>
    <row r="62" ht="15.75" customHeight="1">
      <c r="B62" s="2">
        <f>864-31</f>
        <v>833</v>
      </c>
      <c r="C62" s="2">
        <f>629-356</f>
        <v>273</v>
      </c>
      <c r="J62" s="2">
        <f>566-547</f>
        <v>19</v>
      </c>
      <c r="K62" s="169"/>
      <c r="L62" s="169"/>
    </row>
    <row r="63" ht="15.75" customHeight="1">
      <c r="E63" s="2">
        <v>6.0</v>
      </c>
      <c r="J63" s="2">
        <f>J62*2</f>
        <v>38</v>
      </c>
      <c r="K63" s="169"/>
      <c r="L63" s="169"/>
    </row>
    <row r="64" ht="15.75" customHeight="1">
      <c r="D64" s="2">
        <v>129.0</v>
      </c>
      <c r="E64" s="2">
        <v>1.0</v>
      </c>
      <c r="K64" s="169"/>
      <c r="L64" s="169"/>
    </row>
    <row r="65" ht="15.75" customHeight="1">
      <c r="B65" s="2">
        <f>833-390</f>
        <v>443</v>
      </c>
      <c r="D65" s="2">
        <v>131.0</v>
      </c>
      <c r="J65" s="2">
        <f>394-681</f>
        <v>-287</v>
      </c>
      <c r="K65" s="169"/>
      <c r="L65" s="169"/>
    </row>
    <row r="66" ht="15.75" customHeight="1">
      <c r="J66" s="2">
        <f>869-733</f>
        <v>136</v>
      </c>
      <c r="K66" s="169"/>
      <c r="L66" s="169"/>
    </row>
    <row r="67" ht="15.75" customHeight="1">
      <c r="J67" s="2">
        <f>61*61</f>
        <v>3721</v>
      </c>
      <c r="K67" s="169"/>
      <c r="L67" s="169"/>
    </row>
    <row r="68" ht="15.75" customHeight="1">
      <c r="J68" s="2">
        <f>61*16</f>
        <v>976</v>
      </c>
      <c r="K68" s="169"/>
      <c r="L68" s="169"/>
    </row>
    <row r="69" ht="15.75" customHeight="1">
      <c r="B69" s="2">
        <f>629-627</f>
        <v>2</v>
      </c>
      <c r="K69" s="169"/>
      <c r="L69" s="169"/>
    </row>
    <row r="70" ht="15.75" customHeight="1">
      <c r="J70" s="2">
        <v>983.0</v>
      </c>
      <c r="K70" s="169">
        <f>SQRTPI(J70)</f>
        <v>55.57144571</v>
      </c>
      <c r="L70" s="169"/>
    </row>
    <row r="71" ht="15.75" customHeight="1">
      <c r="D71" s="2">
        <f>949-787</f>
        <v>162</v>
      </c>
      <c r="K71" s="169">
        <f>J70*J70</f>
        <v>966289</v>
      </c>
      <c r="L71" s="169"/>
    </row>
    <row r="72" ht="15.75" customHeight="1">
      <c r="B72" s="2">
        <v>12.0</v>
      </c>
      <c r="K72" s="169">
        <f>318*813</f>
        <v>258534</v>
      </c>
      <c r="L72" s="169"/>
    </row>
    <row r="73" ht="15.75" customHeight="1">
      <c r="E73" s="2">
        <f>994-391</f>
        <v>603</v>
      </c>
      <c r="K73" s="169"/>
      <c r="L73" s="169"/>
    </row>
    <row r="74" ht="15.75" customHeight="1">
      <c r="B74" s="2">
        <v>22.0</v>
      </c>
      <c r="I74" s="2">
        <f>SQRTPI(J70)*0.1233211111</f>
        <v>6.853132431</v>
      </c>
      <c r="K74" s="169"/>
      <c r="L74" s="169"/>
    </row>
    <row r="75" ht="15.75" customHeight="1">
      <c r="F75" s="2">
        <v>4.0</v>
      </c>
      <c r="G75" s="2">
        <v>6.0</v>
      </c>
      <c r="J75" s="2">
        <f>431-216</f>
        <v>215</v>
      </c>
      <c r="K75" s="169"/>
      <c r="L75" s="169"/>
    </row>
    <row r="76" ht="15.75" customHeight="1">
      <c r="B76" s="2">
        <v>302.0</v>
      </c>
      <c r="J76" s="2">
        <f>215*2</f>
        <v>430</v>
      </c>
      <c r="K76" s="169"/>
      <c r="L76" s="169"/>
      <c r="O76" s="2">
        <f>108+25</f>
        <v>133</v>
      </c>
    </row>
    <row r="77" ht="15.75" customHeight="1">
      <c r="F77" s="2">
        <f>F75-2</f>
        <v>2</v>
      </c>
      <c r="G77" s="2">
        <f>G75-1</f>
        <v>5</v>
      </c>
      <c r="K77" s="169"/>
      <c r="L77" s="169"/>
      <c r="O77" s="2">
        <f>SQRTPI(O76)</f>
        <v>20.44093498</v>
      </c>
    </row>
    <row r="78" ht="15.75" customHeight="1">
      <c r="J78" s="2">
        <f>983-950</f>
        <v>33</v>
      </c>
      <c r="K78" s="169"/>
      <c r="L78" s="169"/>
    </row>
    <row r="79" ht="15.75" customHeight="1">
      <c r="B79" s="2">
        <v>371.0</v>
      </c>
      <c r="F79" s="2">
        <f>F75-1</f>
        <v>3</v>
      </c>
      <c r="G79" s="2">
        <f>G75-2</f>
        <v>4</v>
      </c>
      <c r="K79" s="169"/>
      <c r="L79" s="169"/>
      <c r="O79" s="2" t="str">
        <f>#REF!-O76</f>
        <v>#REF!</v>
      </c>
    </row>
    <row r="80" ht="15.75" customHeight="1">
      <c r="J80" s="2">
        <f>32*32</f>
        <v>1024</v>
      </c>
      <c r="K80" s="169"/>
      <c r="L80" s="169"/>
    </row>
    <row r="81" ht="15.75" customHeight="1">
      <c r="F81" s="2">
        <f t="shared" ref="F81:G81" si="16">F75-1</f>
        <v>3</v>
      </c>
      <c r="G81" s="2">
        <f t="shared" si="16"/>
        <v>5</v>
      </c>
      <c r="J81" s="2">
        <f>32*23</f>
        <v>736</v>
      </c>
      <c r="K81" s="169"/>
      <c r="L81" s="169"/>
    </row>
    <row r="82" ht="15.75" customHeight="1">
      <c r="K82" s="169"/>
      <c r="L82" s="169"/>
    </row>
    <row r="83" ht="15.75" customHeight="1">
      <c r="F83" s="2">
        <f t="shared" ref="F83:G83" si="17">F75+1</f>
        <v>5</v>
      </c>
      <c r="G83" s="2">
        <f t="shared" si="17"/>
        <v>7</v>
      </c>
      <c r="J83" s="2">
        <v>962.0</v>
      </c>
      <c r="K83" s="169">
        <f>SQRTPI(J83)</f>
        <v>54.97464991</v>
      </c>
      <c r="L83" s="169"/>
    </row>
    <row r="84" ht="15.75" customHeight="1">
      <c r="K84" s="169">
        <f>J83*J83</f>
        <v>925444</v>
      </c>
      <c r="L84" s="169"/>
    </row>
    <row r="85" ht="15.75" customHeight="1">
      <c r="K85" s="169">
        <f>318*813</f>
        <v>258534</v>
      </c>
      <c r="L85" s="169"/>
    </row>
    <row r="86" ht="15.75" customHeight="1">
      <c r="F86" s="2">
        <f>F75-2</f>
        <v>2</v>
      </c>
      <c r="G86" s="2">
        <f>G75-6</f>
        <v>0</v>
      </c>
      <c r="K86" s="169"/>
      <c r="L86" s="169"/>
    </row>
    <row r="87" ht="15.75" customHeight="1">
      <c r="I87" s="2">
        <f>SQRTPI(J83)*0.1233211111</f>
        <v>6.779534909</v>
      </c>
      <c r="K87" s="169"/>
      <c r="L87" s="169"/>
    </row>
    <row r="88" ht="15.75" customHeight="1">
      <c r="F88" s="2">
        <f>F75-1</f>
        <v>3</v>
      </c>
      <c r="G88" s="2">
        <f>G75-6</f>
        <v>0</v>
      </c>
      <c r="J88" s="2">
        <f>431-909</f>
        <v>-478</v>
      </c>
      <c r="K88" s="169"/>
      <c r="L88" s="169"/>
    </row>
    <row r="89" ht="15.75" customHeight="1">
      <c r="J89" s="2">
        <f>478*2</f>
        <v>956</v>
      </c>
      <c r="K89" s="169"/>
      <c r="L89" s="169"/>
    </row>
    <row r="90" ht="15.75" customHeight="1">
      <c r="K90" s="169"/>
      <c r="L90" s="169"/>
    </row>
    <row r="91" ht="15.75" customHeight="1">
      <c r="J91" s="2">
        <f>983-962</f>
        <v>21</v>
      </c>
      <c r="K91" s="169"/>
      <c r="L91" s="169"/>
    </row>
    <row r="92" ht="15.75" customHeight="1">
      <c r="K92" s="169"/>
      <c r="L92" s="169"/>
    </row>
    <row r="93" ht="15.75" customHeight="1">
      <c r="J93" s="2">
        <f>75*75</f>
        <v>5625</v>
      </c>
      <c r="K93" s="169"/>
      <c r="L93" s="169"/>
    </row>
    <row r="94" ht="15.75" customHeight="1">
      <c r="J94" s="2">
        <f>75*57</f>
        <v>4275</v>
      </c>
      <c r="K94" s="169"/>
      <c r="L94" s="169"/>
    </row>
    <row r="95" ht="15.75" customHeight="1">
      <c r="L95" s="169"/>
    </row>
    <row r="96" ht="15.75" customHeight="1">
      <c r="J96" s="2">
        <v>516.0</v>
      </c>
      <c r="K96" s="169">
        <f>SQRTPI(J96)</f>
        <v>40.26241187</v>
      </c>
      <c r="L96" s="169"/>
    </row>
    <row r="97" ht="15.75" customHeight="1">
      <c r="K97" s="169">
        <f>J96*J96</f>
        <v>266256</v>
      </c>
      <c r="L97" s="169"/>
    </row>
    <row r="98" ht="15.75" customHeight="1">
      <c r="K98" s="169">
        <f>318*813</f>
        <v>258534</v>
      </c>
      <c r="L98" s="169"/>
    </row>
    <row r="99" ht="15.75" customHeight="1">
      <c r="K99" s="169"/>
      <c r="L99" s="169"/>
    </row>
    <row r="100" ht="15.75" customHeight="1">
      <c r="I100" s="2">
        <f>SQRTPI(J96)*0.1233211111</f>
        <v>4.965205367</v>
      </c>
      <c r="K100" s="169"/>
      <c r="L100" s="169"/>
    </row>
    <row r="101" ht="15.75" customHeight="1">
      <c r="J101" s="2">
        <f>909-367</f>
        <v>542</v>
      </c>
      <c r="K101" s="169"/>
      <c r="L101" s="169"/>
    </row>
    <row r="102" ht="15.75" customHeight="1">
      <c r="J102" s="2">
        <f>446*2</f>
        <v>892</v>
      </c>
      <c r="K102" s="169"/>
      <c r="L102" s="169"/>
    </row>
    <row r="103" ht="15.75" customHeight="1">
      <c r="K103" s="169"/>
      <c r="L103" s="169"/>
    </row>
    <row r="104" ht="15.75" customHeight="1">
      <c r="J104" s="2">
        <f>962-516</f>
        <v>446</v>
      </c>
      <c r="K104" s="169"/>
      <c r="L104" s="169"/>
    </row>
    <row r="105" ht="15.75" customHeight="1">
      <c r="K105" s="169"/>
      <c r="L105" s="169"/>
    </row>
    <row r="106" ht="15.75" customHeight="1">
      <c r="J106" s="2">
        <f>34*34</f>
        <v>1156</v>
      </c>
      <c r="K106" s="169"/>
      <c r="L106" s="169"/>
    </row>
    <row r="107" ht="15.75" customHeight="1">
      <c r="J107" s="2">
        <f>34*43</f>
        <v>1462</v>
      </c>
      <c r="K107" s="169"/>
      <c r="L107" s="169"/>
    </row>
    <row r="108" ht="15.75" customHeight="1">
      <c r="L108" s="169"/>
    </row>
    <row r="109" ht="15.75" customHeight="1">
      <c r="J109" s="2">
        <v>864.0</v>
      </c>
      <c r="K109" s="169">
        <f>SQRTPI(J109)</f>
        <v>52.09929033</v>
      </c>
      <c r="L109" s="169"/>
    </row>
    <row r="110" ht="15.75" customHeight="1">
      <c r="K110" s="169">
        <f>J109*J109</f>
        <v>746496</v>
      </c>
      <c r="L110" s="169"/>
    </row>
    <row r="111" ht="15.75" customHeight="1">
      <c r="K111" s="169">
        <f>318*813</f>
        <v>258534</v>
      </c>
      <c r="L111" s="169"/>
    </row>
    <row r="112" ht="15.75" customHeight="1">
      <c r="K112" s="169"/>
      <c r="L112" s="169"/>
    </row>
    <row r="113" ht="15.75" customHeight="1">
      <c r="I113" s="2">
        <f>SQRTPI(J109)*0.1233211111</f>
        <v>6.424942371</v>
      </c>
      <c r="K113" s="169"/>
      <c r="L113" s="169"/>
    </row>
    <row r="114" ht="15.75" customHeight="1">
      <c r="J114" s="2">
        <f>367-371</f>
        <v>-4</v>
      </c>
      <c r="K114" s="169"/>
      <c r="L114" s="169"/>
    </row>
    <row r="115" ht="15.75" customHeight="1">
      <c r="J115" s="2">
        <f>4*2</f>
        <v>8</v>
      </c>
      <c r="K115" s="169"/>
      <c r="L115" s="169"/>
    </row>
    <row r="116" ht="15.75" customHeight="1">
      <c r="K116" s="169"/>
      <c r="L116" s="169"/>
    </row>
    <row r="117" ht="15.75" customHeight="1">
      <c r="J117" s="2">
        <f>962-516</f>
        <v>446</v>
      </c>
      <c r="K117" s="169"/>
      <c r="L117" s="169"/>
    </row>
    <row r="118" ht="15.75" customHeight="1">
      <c r="K118" s="169"/>
      <c r="L118" s="169"/>
    </row>
    <row r="119" ht="15.75" customHeight="1">
      <c r="J119" s="2">
        <f>93*93</f>
        <v>8649</v>
      </c>
      <c r="K119" s="169"/>
      <c r="L119" s="169"/>
    </row>
    <row r="120" ht="15.75" customHeight="1">
      <c r="J120" s="2">
        <f>93*39</f>
        <v>3627</v>
      </c>
      <c r="K120" s="169"/>
      <c r="L120" s="169"/>
    </row>
    <row r="121" ht="15.75" customHeight="1">
      <c r="L121" s="169"/>
    </row>
    <row r="122" ht="15.75" customHeight="1">
      <c r="J122" s="2">
        <v>988.0</v>
      </c>
      <c r="K122" s="169">
        <f>SQRTPI(J122)</f>
        <v>55.71259769</v>
      </c>
      <c r="L122" s="169"/>
    </row>
    <row r="123" ht="15.75" customHeight="1">
      <c r="K123" s="169">
        <f>J122*J122</f>
        <v>976144</v>
      </c>
      <c r="L123" s="169"/>
    </row>
    <row r="124" ht="15.75" customHeight="1">
      <c r="K124" s="169">
        <f>318*813</f>
        <v>258534</v>
      </c>
      <c r="L124" s="169"/>
    </row>
    <row r="125" ht="15.75" customHeight="1">
      <c r="K125" s="169"/>
      <c r="L125" s="169"/>
    </row>
    <row r="126" ht="15.75" customHeight="1">
      <c r="I126" s="2">
        <f>SQRTPI(J122)*0.1233211111</f>
        <v>6.87053945</v>
      </c>
      <c r="K126" s="169"/>
      <c r="L126" s="169"/>
    </row>
    <row r="127" ht="15.75" customHeight="1">
      <c r="J127" s="2">
        <f>371-945</f>
        <v>-574</v>
      </c>
      <c r="K127" s="169"/>
      <c r="L127" s="169"/>
    </row>
    <row r="128" ht="15.75" customHeight="1">
      <c r="J128" s="2">
        <f>J127*2</f>
        <v>-1148</v>
      </c>
      <c r="K128" s="169"/>
      <c r="L128" s="169"/>
    </row>
    <row r="129" ht="15.75" customHeight="1">
      <c r="K129" s="169"/>
      <c r="L129" s="169"/>
    </row>
    <row r="130" ht="15.75" customHeight="1">
      <c r="J130" s="2">
        <f>962-516</f>
        <v>446</v>
      </c>
      <c r="K130" s="169"/>
      <c r="L130" s="169"/>
    </row>
    <row r="131" ht="15.75" customHeight="1">
      <c r="K131" s="169"/>
      <c r="L131" s="169"/>
    </row>
    <row r="132" ht="15.75" customHeight="1">
      <c r="J132" s="2">
        <f>27*27</f>
        <v>729</v>
      </c>
      <c r="K132" s="169"/>
      <c r="L132" s="169"/>
    </row>
    <row r="133" ht="15.75" customHeight="1">
      <c r="J133" s="2">
        <f>27*72</f>
        <v>1944</v>
      </c>
      <c r="K133" s="169"/>
      <c r="L133" s="169"/>
    </row>
    <row r="134" ht="15.75" customHeight="1">
      <c r="L134" s="169"/>
    </row>
    <row r="135" ht="15.75" customHeight="1">
      <c r="J135" s="2">
        <v>630.0</v>
      </c>
      <c r="K135" s="169">
        <f>SQRTPI(J135)</f>
        <v>44.48823858</v>
      </c>
      <c r="L135" s="169"/>
    </row>
    <row r="136" ht="15.75" customHeight="1">
      <c r="K136" s="169">
        <f>J135*J135</f>
        <v>396900</v>
      </c>
      <c r="L136" s="169"/>
    </row>
    <row r="137" ht="15.75" customHeight="1">
      <c r="K137" s="169">
        <f>318*813</f>
        <v>258534</v>
      </c>
      <c r="L137" s="169"/>
      <c r="N137" s="2" t="s">
        <v>67</v>
      </c>
    </row>
    <row r="138" ht="15.75" customHeight="1">
      <c r="K138" s="169"/>
      <c r="L138" s="169"/>
    </row>
    <row r="139" ht="15.75" customHeight="1">
      <c r="I139" s="2">
        <f>SQRTPI(J135)*0.1233211111</f>
        <v>5.486339012</v>
      </c>
      <c r="K139" s="169"/>
      <c r="L139" s="169"/>
    </row>
    <row r="140" ht="15.75" customHeight="1">
      <c r="J140" s="2">
        <f>988-630</f>
        <v>358</v>
      </c>
      <c r="K140" s="169"/>
      <c r="L140" s="169"/>
    </row>
    <row r="141" ht="15.75" customHeight="1">
      <c r="J141" s="2">
        <f>358*2</f>
        <v>716</v>
      </c>
      <c r="K141" s="169"/>
      <c r="L141" s="169"/>
    </row>
    <row r="142" ht="15.75" customHeight="1">
      <c r="K142" s="169"/>
      <c r="L142" s="169"/>
    </row>
    <row r="143" ht="15.75" customHeight="1">
      <c r="J143" s="2">
        <f>962-516</f>
        <v>446</v>
      </c>
      <c r="K143" s="169"/>
      <c r="L143" s="169"/>
    </row>
    <row r="144" ht="15.75" customHeight="1">
      <c r="K144" s="169"/>
      <c r="L144" s="169"/>
    </row>
    <row r="145" ht="15.75" customHeight="1">
      <c r="J145" s="2">
        <f>27*27</f>
        <v>729</v>
      </c>
      <c r="K145" s="169"/>
      <c r="L145" s="169"/>
    </row>
    <row r="146" ht="15.75" customHeight="1">
      <c r="J146" s="2">
        <f>27*72</f>
        <v>1944</v>
      </c>
      <c r="K146" s="169"/>
      <c r="L146" s="169"/>
      <c r="N146" s="2">
        <f>702+145</f>
        <v>847</v>
      </c>
    </row>
    <row r="147" ht="15.75" customHeight="1">
      <c r="L147" s="169"/>
    </row>
    <row r="148" ht="15.75" customHeight="1">
      <c r="L148" s="169"/>
      <c r="N148" s="2">
        <v>407.0</v>
      </c>
      <c r="P148" s="2">
        <v>911.0</v>
      </c>
    </row>
    <row r="149" ht="15.75" customHeight="1">
      <c r="J149" s="2">
        <v>404.0</v>
      </c>
      <c r="K149" s="169">
        <f>SQRTPI(J149)</f>
        <v>35.62588149</v>
      </c>
      <c r="L149" s="169"/>
      <c r="N149" s="2">
        <v>704.0</v>
      </c>
      <c r="O149" s="2">
        <f>N148*N149</f>
        <v>286528</v>
      </c>
      <c r="P149" s="2">
        <v>119.0</v>
      </c>
      <c r="Q149" s="2">
        <f>COS(P148)*P149</f>
        <v>118.7723162</v>
      </c>
    </row>
    <row r="150" ht="15.75" customHeight="1">
      <c r="K150" s="169">
        <f>J149*J149</f>
        <v>163216</v>
      </c>
      <c r="L150" s="169"/>
      <c r="N150" s="2">
        <v>41.0</v>
      </c>
      <c r="O150" s="2">
        <f>N150*O149</f>
        <v>11747648</v>
      </c>
      <c r="Q150" s="2">
        <f>sin(P148)*P149</f>
        <v>-7.35777922</v>
      </c>
    </row>
    <row r="151" ht="15.75" customHeight="1">
      <c r="K151" s="169">
        <f>318*813</f>
        <v>258534</v>
      </c>
      <c r="L151" s="169"/>
      <c r="N151" s="2">
        <v>14.0</v>
      </c>
      <c r="O151" s="2">
        <f>N151*O149</f>
        <v>4011392</v>
      </c>
      <c r="Q151" s="2">
        <f>tan(P148)*P149</f>
        <v>-7.371883916</v>
      </c>
    </row>
    <row r="152" ht="15.75" customHeight="1">
      <c r="K152" s="169"/>
      <c r="L152" s="169"/>
      <c r="Q152" s="2">
        <f>SQRT(P148)*P149</f>
        <v>3591.750409</v>
      </c>
    </row>
    <row r="153" ht="15.75" customHeight="1">
      <c r="I153" s="2">
        <f>SQRTPI(J149)*0.1233211111</f>
        <v>4.393423289</v>
      </c>
      <c r="K153" s="169"/>
      <c r="L153" s="169"/>
      <c r="P153" s="2">
        <f>abs(P148-P149)</f>
        <v>792</v>
      </c>
    </row>
    <row r="154" ht="15.75" customHeight="1">
      <c r="J154" s="2">
        <f>630-404</f>
        <v>226</v>
      </c>
      <c r="K154" s="169"/>
      <c r="L154" s="169"/>
      <c r="P154" s="2">
        <v>297.0</v>
      </c>
      <c r="Q154" s="2">
        <f>COS(P153)*P154</f>
        <v>282.0486672</v>
      </c>
    </row>
    <row r="155" ht="15.75" customHeight="1">
      <c r="J155" s="2">
        <f>226*2</f>
        <v>452</v>
      </c>
      <c r="K155" s="169"/>
      <c r="L155" s="169"/>
      <c r="Q155" s="2">
        <f>sin(P153)*P154</f>
        <v>93.0459529</v>
      </c>
    </row>
    <row r="156" ht="15.75" customHeight="1">
      <c r="K156" s="169"/>
      <c r="L156" s="169"/>
      <c r="Q156" s="2">
        <f>tan(P153)*P154</f>
        <v>97.97829676</v>
      </c>
    </row>
    <row r="157" ht="15.75" customHeight="1">
      <c r="J157" s="2">
        <f>289-12</f>
        <v>277</v>
      </c>
      <c r="K157" s="169"/>
      <c r="L157" s="169"/>
      <c r="Q157" s="2">
        <f>SQRT(P153)*P154</f>
        <v>8358.320884</v>
      </c>
    </row>
    <row r="158" ht="15.75" customHeight="1">
      <c r="J158" s="2">
        <f>289-912</f>
        <v>-623</v>
      </c>
      <c r="K158" s="169"/>
      <c r="L158" s="169"/>
      <c r="P158" s="2">
        <f>P153-P154</f>
        <v>495</v>
      </c>
      <c r="Q158" s="2">
        <f>P153*0.321</f>
        <v>254.232</v>
      </c>
    </row>
    <row r="159" ht="15.75" customHeight="1">
      <c r="J159" s="2">
        <f>95*95</f>
        <v>9025</v>
      </c>
      <c r="K159" s="169"/>
      <c r="L159" s="169"/>
    </row>
    <row r="160" ht="15.75" customHeight="1">
      <c r="J160" s="2">
        <f>95*59</f>
        <v>5605</v>
      </c>
      <c r="K160" s="169"/>
      <c r="L160" s="169"/>
    </row>
    <row r="161" ht="15.75" customHeight="1">
      <c r="L161" s="169"/>
    </row>
    <row r="162" ht="15.75" customHeight="1">
      <c r="J162" s="2">
        <v>293.0</v>
      </c>
      <c r="K162" s="169">
        <f>SQRTPI(J162)</f>
        <v>30.33952286</v>
      </c>
      <c r="L162" s="169"/>
    </row>
    <row r="163" ht="15.75" customHeight="1">
      <c r="K163" s="169">
        <f>J162*J162</f>
        <v>85849</v>
      </c>
      <c r="L163" s="169"/>
    </row>
    <row r="164" ht="15.75" customHeight="1">
      <c r="K164" s="169">
        <f>318*813</f>
        <v>258534</v>
      </c>
      <c r="L164" s="169"/>
    </row>
    <row r="165" ht="15.75" customHeight="1">
      <c r="K165" s="169"/>
      <c r="L165" s="169"/>
    </row>
    <row r="166" ht="15.75" customHeight="1">
      <c r="I166" s="2">
        <f>SQRTPI(J162)*0.1233211111</f>
        <v>3.74150367</v>
      </c>
      <c r="K166" s="169"/>
      <c r="L166" s="169"/>
    </row>
    <row r="167" ht="15.75" customHeight="1">
      <c r="J167" s="2">
        <f>293-404</f>
        <v>-111</v>
      </c>
      <c r="K167" s="169"/>
      <c r="L167" s="169"/>
    </row>
    <row r="168" ht="15.75" customHeight="1">
      <c r="J168" s="2">
        <f>111*2</f>
        <v>222</v>
      </c>
      <c r="K168" s="169"/>
      <c r="L168" s="169"/>
    </row>
    <row r="169" ht="15.75" customHeight="1">
      <c r="K169" s="169"/>
      <c r="L169" s="169"/>
    </row>
    <row r="170" ht="15.75" customHeight="1">
      <c r="J170" s="2">
        <f>289-367</f>
        <v>-78</v>
      </c>
      <c r="K170" s="169"/>
      <c r="L170" s="169"/>
    </row>
    <row r="171" ht="15.75" customHeight="1">
      <c r="J171" s="2">
        <f>889-367</f>
        <v>522</v>
      </c>
      <c r="K171" s="169"/>
      <c r="L171" s="169"/>
    </row>
    <row r="172" ht="15.75" customHeight="1">
      <c r="J172" s="2">
        <f>32*32</f>
        <v>1024</v>
      </c>
      <c r="K172" s="169"/>
      <c r="L172" s="169"/>
    </row>
    <row r="173" ht="15.75" customHeight="1">
      <c r="J173" s="2">
        <f>32*23</f>
        <v>736</v>
      </c>
      <c r="K173" s="169"/>
      <c r="L173" s="169"/>
    </row>
    <row r="174" ht="15.75" customHeight="1">
      <c r="L174" s="169"/>
    </row>
    <row r="175" ht="15.75" customHeight="1">
      <c r="J175" s="2">
        <v>235.0</v>
      </c>
      <c r="K175" s="169">
        <f>SQRTPI(J175)</f>
        <v>27.17120302</v>
      </c>
      <c r="L175" s="169"/>
    </row>
    <row r="176" ht="15.75" customHeight="1">
      <c r="K176" s="169">
        <f>J175*J175</f>
        <v>55225</v>
      </c>
      <c r="L176" s="169"/>
      <c r="N176" s="2" t="s">
        <v>69</v>
      </c>
    </row>
    <row r="177" ht="15.75" customHeight="1">
      <c r="K177" s="169">
        <f>318*813</f>
        <v>258534</v>
      </c>
      <c r="L177" s="169"/>
    </row>
    <row r="178" ht="15.75" customHeight="1">
      <c r="K178" s="169"/>
      <c r="L178" s="169"/>
    </row>
    <row r="179" ht="15.75" customHeight="1">
      <c r="I179" s="2">
        <f>SQRTPI(J175)*0.1233211111</f>
        <v>3.350782946</v>
      </c>
      <c r="K179" s="169"/>
      <c r="L179" s="169"/>
    </row>
    <row r="180" ht="15.75" customHeight="1">
      <c r="J180" s="2">
        <f>293-235</f>
        <v>58</v>
      </c>
      <c r="K180" s="169"/>
      <c r="L180" s="169"/>
    </row>
    <row r="181" ht="15.75" customHeight="1">
      <c r="J181" s="2">
        <f>58*2</f>
        <v>116</v>
      </c>
      <c r="K181" s="169"/>
      <c r="L181" s="169"/>
    </row>
    <row r="182" ht="15.75" customHeight="1">
      <c r="K182" s="169"/>
      <c r="L182" s="169"/>
    </row>
    <row r="183" ht="15.75" customHeight="1">
      <c r="J183" s="2">
        <f>946-367</f>
        <v>579</v>
      </c>
      <c r="K183" s="169"/>
      <c r="L183" s="169"/>
    </row>
    <row r="184" ht="15.75" customHeight="1">
      <c r="J184" s="2">
        <f>364-46</f>
        <v>318</v>
      </c>
      <c r="K184" s="169"/>
      <c r="L184" s="169"/>
    </row>
    <row r="185" ht="15.75" customHeight="1">
      <c r="J185" s="2">
        <f>31*31</f>
        <v>961</v>
      </c>
      <c r="K185" s="169"/>
      <c r="L185" s="169"/>
    </row>
    <row r="186" ht="15.75" customHeight="1">
      <c r="J186" s="2">
        <f>70*70</f>
        <v>4900</v>
      </c>
      <c r="K186" s="169"/>
      <c r="L186" s="169"/>
    </row>
    <row r="187" ht="15.75" customHeight="1">
      <c r="L187" s="169"/>
    </row>
    <row r="188" ht="15.75" customHeight="1">
      <c r="J188" s="2">
        <v>824.0</v>
      </c>
      <c r="K188" s="169">
        <f>SQRTPI(J188)</f>
        <v>50.87899711</v>
      </c>
      <c r="L188" s="169"/>
    </row>
    <row r="189" ht="15.75" customHeight="1">
      <c r="K189" s="169">
        <f>J188*J188</f>
        <v>678976</v>
      </c>
      <c r="L189" s="169"/>
    </row>
    <row r="190" ht="15.75" customHeight="1">
      <c r="K190" s="169">
        <f>318*813</f>
        <v>258534</v>
      </c>
      <c r="L190" s="169"/>
    </row>
    <row r="191" ht="15.75" customHeight="1">
      <c r="K191" s="169"/>
      <c r="L191" s="169"/>
    </row>
    <row r="192" ht="15.75" customHeight="1">
      <c r="I192" s="2">
        <f>SQRTPI(J188)*0.1233211111</f>
        <v>6.274454455</v>
      </c>
      <c r="K192" s="169"/>
      <c r="L192" s="169"/>
    </row>
    <row r="193" ht="15.75" customHeight="1">
      <c r="J193" s="2">
        <f>824-J196235</f>
        <v>824</v>
      </c>
      <c r="K193" s="169"/>
      <c r="L193" s="169"/>
    </row>
    <row r="194" ht="15.75" customHeight="1">
      <c r="J194" s="2">
        <f>589*2</f>
        <v>1178</v>
      </c>
      <c r="K194" s="169"/>
      <c r="L194" s="169"/>
    </row>
    <row r="195" ht="15.75" customHeight="1">
      <c r="K195" s="169"/>
      <c r="L195" s="169"/>
    </row>
    <row r="196" ht="15.75" customHeight="1">
      <c r="J196" s="2">
        <f>946-455</f>
        <v>491</v>
      </c>
      <c r="K196" s="169"/>
      <c r="L196" s="169"/>
    </row>
    <row r="197" ht="15.75" customHeight="1">
      <c r="J197" s="2">
        <f>364-46</f>
        <v>318</v>
      </c>
      <c r="K197" s="169"/>
      <c r="L197" s="169"/>
    </row>
    <row r="198" ht="15.75" customHeight="1">
      <c r="J198" s="2">
        <f>70*70</f>
        <v>4900</v>
      </c>
      <c r="K198" s="169"/>
      <c r="L198" s="169"/>
    </row>
    <row r="199" ht="15.75" customHeight="1">
      <c r="J199" s="2">
        <f>70*7</f>
        <v>490</v>
      </c>
      <c r="K199" s="169"/>
      <c r="L199" s="169"/>
    </row>
    <row r="200" ht="15.75" customHeight="1">
      <c r="L200" s="169"/>
    </row>
    <row r="201" ht="15.75" customHeight="1">
      <c r="J201" s="2">
        <v>963.0</v>
      </c>
      <c r="K201" s="169">
        <f>SQRTPI(J201)</f>
        <v>55.00321559</v>
      </c>
      <c r="L201" s="169"/>
    </row>
    <row r="202" ht="15.75" customHeight="1">
      <c r="K202" s="169">
        <f>J201*J201</f>
        <v>927369</v>
      </c>
      <c r="L202" s="169"/>
    </row>
    <row r="203" ht="15.75" customHeight="1">
      <c r="K203" s="169">
        <f>318*813</f>
        <v>258534</v>
      </c>
      <c r="L203" s="169"/>
    </row>
    <row r="204" ht="15.75" customHeight="1">
      <c r="K204" s="169"/>
      <c r="L204" s="169"/>
    </row>
    <row r="205" ht="15.75" customHeight="1">
      <c r="I205" s="2">
        <f>SQRTPI(J201)*0.1233211111</f>
        <v>6.783057661</v>
      </c>
      <c r="K205" s="169"/>
      <c r="L205" s="169"/>
    </row>
    <row r="206" ht="15.75" customHeight="1">
      <c r="J206" s="2">
        <f>455-661</f>
        <v>-206</v>
      </c>
      <c r="K206" s="169"/>
      <c r="L206" s="169"/>
    </row>
    <row r="207" ht="15.75" customHeight="1">
      <c r="J207" s="2">
        <f>206*2</f>
        <v>412</v>
      </c>
      <c r="K207" s="169"/>
      <c r="L207" s="169"/>
    </row>
    <row r="208" ht="15.75" customHeight="1">
      <c r="K208" s="169"/>
      <c r="L208" s="169"/>
    </row>
    <row r="209" ht="15.75" customHeight="1">
      <c r="J209" s="2">
        <f>963-824</f>
        <v>139</v>
      </c>
      <c r="K209" s="169"/>
      <c r="L209" s="169"/>
    </row>
    <row r="210" ht="15.75" customHeight="1">
      <c r="J210" s="2">
        <f>455-261</f>
        <v>194</v>
      </c>
      <c r="K210" s="169"/>
      <c r="L210" s="169"/>
    </row>
    <row r="211" ht="15.75" customHeight="1">
      <c r="J211" s="2">
        <f>50*50</f>
        <v>2500</v>
      </c>
      <c r="K211" s="169"/>
      <c r="L211" s="169"/>
    </row>
    <row r="212" ht="15.75" customHeight="1">
      <c r="J212" s="2">
        <f>50*5</f>
        <v>250</v>
      </c>
      <c r="K212" s="169"/>
      <c r="L212" s="169"/>
    </row>
    <row r="213" ht="15.75" customHeight="1">
      <c r="L213" s="169"/>
    </row>
    <row r="214" ht="15.75" customHeight="1">
      <c r="J214" s="2">
        <v>959.0</v>
      </c>
      <c r="K214" s="169">
        <f>SQRTPI(J214)</f>
        <v>54.88886367</v>
      </c>
      <c r="L214" s="169"/>
    </row>
    <row r="215" ht="15.75" customHeight="1">
      <c r="K215" s="169">
        <f>J214*J214</f>
        <v>919681</v>
      </c>
      <c r="L215" s="169"/>
    </row>
    <row r="216" ht="15.75" customHeight="1">
      <c r="K216" s="169">
        <f>318*813</f>
        <v>258534</v>
      </c>
      <c r="L216" s="169"/>
    </row>
    <row r="217" ht="15.75" customHeight="1">
      <c r="K217" s="169"/>
      <c r="L217" s="169"/>
    </row>
    <row r="218" ht="15.75" customHeight="1">
      <c r="I218" s="2">
        <f>SQRTPI(J214)*0.1233211111</f>
        <v>6.768955655</v>
      </c>
      <c r="K218" s="169"/>
      <c r="L218" s="169"/>
    </row>
    <row r="219" ht="15.75" customHeight="1">
      <c r="J219" s="2">
        <f>655-661</f>
        <v>-6</v>
      </c>
      <c r="K219" s="169"/>
      <c r="L219" s="169"/>
    </row>
    <row r="220" ht="15.75" customHeight="1">
      <c r="J220" s="2">
        <f>6*2</f>
        <v>12</v>
      </c>
      <c r="K220" s="169"/>
      <c r="L220" s="169"/>
    </row>
    <row r="221" ht="15.75" customHeight="1">
      <c r="K221" s="169"/>
      <c r="L221" s="169"/>
    </row>
    <row r="222" ht="15.75" customHeight="1">
      <c r="J222" s="2">
        <f>963-959</f>
        <v>4</v>
      </c>
      <c r="K222" s="169"/>
      <c r="L222" s="169"/>
    </row>
    <row r="223" ht="15.75" customHeight="1">
      <c r="J223" s="2">
        <f>661-625</f>
        <v>36</v>
      </c>
      <c r="K223" s="169"/>
      <c r="L223" s="169"/>
    </row>
    <row r="224" ht="15.75" customHeight="1">
      <c r="J224" s="2">
        <f>16*16</f>
        <v>256</v>
      </c>
      <c r="K224" s="169"/>
      <c r="L224" s="169"/>
    </row>
    <row r="225" ht="15.75" customHeight="1">
      <c r="J225" s="2">
        <f>16*61</f>
        <v>976</v>
      </c>
      <c r="K225" s="169"/>
      <c r="L225" s="169"/>
    </row>
    <row r="226" ht="15.75" customHeight="1">
      <c r="L226" s="169"/>
    </row>
    <row r="227" ht="15.75" customHeight="1">
      <c r="J227" s="2">
        <v>206.0</v>
      </c>
      <c r="K227" s="169">
        <f>SQRTPI(J227)</f>
        <v>25.43949855</v>
      </c>
      <c r="L227" s="169"/>
    </row>
    <row r="228" ht="15.75" customHeight="1">
      <c r="K228" s="169">
        <f>J227*J227</f>
        <v>42436</v>
      </c>
      <c r="L228" s="169"/>
    </row>
    <row r="229" ht="15.75" customHeight="1">
      <c r="K229" s="169">
        <f>318*813</f>
        <v>258534</v>
      </c>
      <c r="L229" s="169"/>
    </row>
    <row r="230" ht="15.75" customHeight="1">
      <c r="K230" s="169"/>
      <c r="L230" s="169"/>
    </row>
    <row r="231" ht="15.75" customHeight="1">
      <c r="I231" s="2">
        <f>SQRTPI(J227)*0.1233211111</f>
        <v>3.137227227</v>
      </c>
      <c r="K231" s="169"/>
      <c r="L231" s="169"/>
    </row>
    <row r="232" ht="15.75" customHeight="1">
      <c r="J232" s="2">
        <f>655-277</f>
        <v>378</v>
      </c>
      <c r="K232" s="169"/>
      <c r="L232" s="169"/>
    </row>
    <row r="233" ht="15.75" customHeight="1">
      <c r="J233" s="2">
        <f>J232*2</f>
        <v>756</v>
      </c>
      <c r="K233" s="169"/>
      <c r="L233" s="169"/>
    </row>
    <row r="234" ht="15.75" customHeight="1">
      <c r="K234" s="169"/>
      <c r="L234" s="169"/>
    </row>
    <row r="235" ht="15.75" customHeight="1">
      <c r="J235" s="2">
        <f>402-959</f>
        <v>-557</v>
      </c>
      <c r="K235" s="169"/>
      <c r="L235" s="169"/>
    </row>
    <row r="236" ht="15.75" customHeight="1">
      <c r="J236" s="2">
        <f>277-625</f>
        <v>-348</v>
      </c>
      <c r="K236" s="169"/>
      <c r="L236" s="169"/>
    </row>
    <row r="237" ht="15.75" customHeight="1">
      <c r="J237" s="2">
        <f>30*30</f>
        <v>900</v>
      </c>
      <c r="K237" s="169"/>
      <c r="L237" s="169"/>
    </row>
    <row r="238" ht="15.75" customHeight="1">
      <c r="J238" s="2">
        <f>16*61</f>
        <v>976</v>
      </c>
      <c r="K238" s="169"/>
      <c r="L238" s="169"/>
    </row>
    <row r="239" ht="15.75" customHeight="1">
      <c r="J239" s="2">
        <v>818.0</v>
      </c>
      <c r="K239" s="169">
        <f>SQRTPI(J239)</f>
        <v>50.6934196</v>
      </c>
      <c r="L239" s="169"/>
    </row>
    <row r="240" ht="15.75" customHeight="1">
      <c r="K240" s="169">
        <f>J239*J239</f>
        <v>669124</v>
      </c>
      <c r="L240" s="169"/>
    </row>
    <row r="241" ht="15.75" customHeight="1">
      <c r="K241" s="169">
        <f>318*813</f>
        <v>258534</v>
      </c>
      <c r="L241" s="169"/>
    </row>
    <row r="242" ht="15.75" customHeight="1">
      <c r="K242" s="169"/>
      <c r="L242" s="169"/>
    </row>
    <row r="243" ht="15.75" customHeight="1">
      <c r="I243" s="2">
        <f>SQRTPI(J239)*0.1233211111</f>
        <v>6.25156883</v>
      </c>
      <c r="K243" s="169"/>
      <c r="L243" s="169"/>
    </row>
    <row r="244" ht="15.75" customHeight="1">
      <c r="J244" s="2">
        <f>283-227</f>
        <v>56</v>
      </c>
      <c r="K244" s="169"/>
      <c r="L244" s="169"/>
    </row>
    <row r="245" ht="15.75" customHeight="1">
      <c r="J245" s="2">
        <f>J244*2</f>
        <v>112</v>
      </c>
      <c r="K245" s="169"/>
      <c r="L245" s="169"/>
    </row>
    <row r="246" ht="15.75" customHeight="1">
      <c r="K246" s="169"/>
      <c r="L246" s="169"/>
    </row>
    <row r="247" ht="15.75" customHeight="1">
      <c r="J247" s="2">
        <f>402-818</f>
        <v>-416</v>
      </c>
      <c r="K247" s="169"/>
      <c r="L247" s="169"/>
    </row>
    <row r="248" ht="15.75" customHeight="1">
      <c r="J248" s="2">
        <f>277-625</f>
        <v>-348</v>
      </c>
      <c r="K248" s="169"/>
      <c r="L248" s="169"/>
    </row>
    <row r="249" ht="15.75" customHeight="1">
      <c r="J249" s="2">
        <f>26*26</f>
        <v>676</v>
      </c>
      <c r="K249" s="169"/>
      <c r="L249" s="169"/>
    </row>
    <row r="250" ht="15.75" customHeight="1">
      <c r="J250" s="2">
        <f>26*62</f>
        <v>1612</v>
      </c>
      <c r="K250" s="169"/>
      <c r="L250" s="169"/>
    </row>
    <row r="251" ht="15.75" customHeight="1">
      <c r="L251" s="169"/>
    </row>
    <row r="252" ht="15.75" customHeight="1">
      <c r="J252" s="2">
        <v>142.0</v>
      </c>
      <c r="K252" s="169">
        <f>SQRTPI(J252)</f>
        <v>21.12122527</v>
      </c>
      <c r="L252" s="169"/>
    </row>
    <row r="253" ht="15.75" customHeight="1">
      <c r="K253" s="169">
        <f>J252*J252</f>
        <v>20164</v>
      </c>
      <c r="L253" s="169"/>
    </row>
    <row r="254" ht="15.75" customHeight="1">
      <c r="K254" s="169">
        <f>318*813</f>
        <v>258534</v>
      </c>
      <c r="L254" s="169"/>
    </row>
    <row r="255" ht="15.75" customHeight="1">
      <c r="K255" s="169"/>
      <c r="L255" s="169"/>
    </row>
    <row r="256" ht="15.75" customHeight="1">
      <c r="I256" s="2">
        <f>SQRTPI(J252)*0.1233211111</f>
        <v>2.604692968</v>
      </c>
      <c r="K256" s="169"/>
      <c r="L256" s="169"/>
    </row>
    <row r="257" ht="15.75" customHeight="1">
      <c r="J257" s="2">
        <f>283-968</f>
        <v>-685</v>
      </c>
      <c r="K257" s="169"/>
      <c r="L257" s="169"/>
    </row>
    <row r="258" ht="15.75" customHeight="1">
      <c r="J258" s="2">
        <f>J257*2</f>
        <v>-1370</v>
      </c>
      <c r="K258" s="169"/>
      <c r="L258" s="169"/>
    </row>
    <row r="259" ht="15.75" customHeight="1">
      <c r="K259" s="169"/>
      <c r="L259" s="169"/>
    </row>
    <row r="260" ht="15.75" customHeight="1">
      <c r="J260" s="2">
        <f>818-142</f>
        <v>676</v>
      </c>
      <c r="K260" s="169"/>
      <c r="L260" s="169"/>
    </row>
    <row r="261" ht="15.75" customHeight="1">
      <c r="J261" s="2">
        <f>277-625</f>
        <v>-348</v>
      </c>
      <c r="K261" s="169"/>
      <c r="L261" s="169"/>
    </row>
    <row r="262" ht="15.75" customHeight="1">
      <c r="J262" s="2">
        <f>55*55</f>
        <v>3025</v>
      </c>
      <c r="K262" s="169"/>
      <c r="L262" s="169"/>
    </row>
    <row r="263" ht="15.75" customHeight="1">
      <c r="J263" s="2">
        <f>55*25</f>
        <v>1375</v>
      </c>
      <c r="K263" s="169"/>
      <c r="L263" s="169"/>
    </row>
    <row r="264" ht="15.75" customHeight="1">
      <c r="L264" s="169"/>
    </row>
    <row r="265" ht="15.75" customHeight="1">
      <c r="J265" s="2">
        <v>802.0</v>
      </c>
      <c r="K265" s="169">
        <f>SQRTPI(J265)</f>
        <v>50.19519208</v>
      </c>
      <c r="L265" s="169"/>
    </row>
    <row r="266" ht="15.75" customHeight="1">
      <c r="K266" s="169">
        <f>J265*J265</f>
        <v>643204</v>
      </c>
      <c r="L266" s="169"/>
    </row>
    <row r="267" ht="15.75" customHeight="1">
      <c r="K267" s="169">
        <f>318*813</f>
        <v>258534</v>
      </c>
      <c r="L267" s="169"/>
    </row>
    <row r="268" ht="15.75" customHeight="1">
      <c r="K268" s="169"/>
      <c r="L268" s="169"/>
    </row>
    <row r="269" ht="15.75" customHeight="1">
      <c r="I269" s="2">
        <f>SQRTPI(J265)*0.1233211111</f>
        <v>6.190126859</v>
      </c>
      <c r="K269" s="169"/>
      <c r="L269" s="169"/>
    </row>
    <row r="270" ht="15.75" customHeight="1">
      <c r="J270" s="2">
        <f>859-968</f>
        <v>-109</v>
      </c>
      <c r="K270" s="169"/>
      <c r="L270" s="169"/>
    </row>
    <row r="271" ht="15.75" customHeight="1">
      <c r="J271" s="2">
        <f>J270*2</f>
        <v>-218</v>
      </c>
      <c r="K271" s="169"/>
      <c r="L271" s="169"/>
    </row>
    <row r="272" ht="15.75" customHeight="1">
      <c r="K272" s="169"/>
      <c r="L272" s="169"/>
    </row>
    <row r="273" ht="15.75" customHeight="1">
      <c r="J273" s="2">
        <f>802-142</f>
        <v>660</v>
      </c>
      <c r="K273" s="169"/>
      <c r="L273" s="169"/>
    </row>
    <row r="274" ht="15.75" customHeight="1">
      <c r="J274" s="2">
        <f>277-625</f>
        <v>-348</v>
      </c>
      <c r="K274" s="169"/>
      <c r="L274" s="169"/>
    </row>
    <row r="275" ht="15.75" customHeight="1">
      <c r="J275" s="2">
        <f>32*32</f>
        <v>1024</v>
      </c>
      <c r="K275" s="169"/>
      <c r="L275" s="169"/>
    </row>
    <row r="276" ht="15.75" customHeight="1">
      <c r="J276" s="2">
        <f>32*23</f>
        <v>736</v>
      </c>
      <c r="K276" s="169"/>
      <c r="L276" s="169"/>
    </row>
    <row r="277" ht="15.75" customHeight="1">
      <c r="L277" s="169"/>
    </row>
    <row r="278" ht="15.75" customHeight="1">
      <c r="J278" s="2">
        <v>10.0</v>
      </c>
      <c r="K278" s="169">
        <f>SQRTPI(J278)</f>
        <v>5.604991216</v>
      </c>
      <c r="L278" s="169"/>
    </row>
    <row r="279" ht="15.75" customHeight="1">
      <c r="K279" s="169">
        <f>J278*J278</f>
        <v>100</v>
      </c>
      <c r="L279" s="169"/>
    </row>
    <row r="280" ht="15.75" customHeight="1">
      <c r="K280" s="169">
        <f>318*813</f>
        <v>258534</v>
      </c>
      <c r="L280" s="169"/>
    </row>
    <row r="281" ht="15.75" customHeight="1">
      <c r="K281" s="169"/>
      <c r="L281" s="169"/>
    </row>
    <row r="282" ht="15.75" customHeight="1">
      <c r="I282" s="2">
        <f>SQRTPI(J278)*0.1233211111</f>
        <v>0.6912137445</v>
      </c>
      <c r="K282" s="169"/>
      <c r="L282" s="169"/>
    </row>
    <row r="283" ht="15.75" customHeight="1">
      <c r="J283" s="2">
        <f>859-968</f>
        <v>-109</v>
      </c>
      <c r="K283" s="169"/>
      <c r="L283" s="169"/>
    </row>
    <row r="284" ht="15.75" customHeight="1">
      <c r="J284" s="2">
        <f>J283*2</f>
        <v>-218</v>
      </c>
      <c r="K284" s="169"/>
      <c r="L284" s="169"/>
    </row>
    <row r="285" ht="15.75" customHeight="1">
      <c r="K285" s="169"/>
      <c r="L285" s="169"/>
    </row>
    <row r="286" ht="15.75" customHeight="1">
      <c r="J286" s="2">
        <f>802-142</f>
        <v>660</v>
      </c>
      <c r="K286" s="169"/>
      <c r="L286" s="169"/>
    </row>
    <row r="287" ht="15.75" customHeight="1">
      <c r="J287" s="2">
        <f>277-625</f>
        <v>-348</v>
      </c>
      <c r="K287" s="169"/>
      <c r="L287" s="169"/>
    </row>
    <row r="288" ht="15.75" customHeight="1">
      <c r="J288" s="2">
        <f>32*32</f>
        <v>1024</v>
      </c>
      <c r="K288" s="169"/>
      <c r="L288" s="169"/>
    </row>
    <row r="289" ht="15.75" customHeight="1">
      <c r="J289" s="2">
        <f>32*23</f>
        <v>736</v>
      </c>
      <c r="K289" s="169"/>
      <c r="L289" s="169"/>
    </row>
    <row r="290" ht="15.75" customHeight="1">
      <c r="L290" s="169"/>
    </row>
    <row r="291" ht="15.75" customHeight="1">
      <c r="J291" s="2">
        <v>969.0</v>
      </c>
      <c r="K291" s="169">
        <f>SQRTPI(J291)</f>
        <v>55.1742991</v>
      </c>
      <c r="L291" s="169"/>
    </row>
    <row r="292" ht="15.75" customHeight="1">
      <c r="K292" s="169">
        <f>J291*J291</f>
        <v>938961</v>
      </c>
      <c r="L292" s="169"/>
    </row>
    <row r="293" ht="15.75" customHeight="1">
      <c r="K293" s="169">
        <f>318*813</f>
        <v>258534</v>
      </c>
      <c r="L293" s="169"/>
    </row>
    <row r="294" ht="15.75" customHeight="1">
      <c r="K294" s="169"/>
      <c r="L294" s="169"/>
    </row>
    <row r="295" ht="15.75" customHeight="1">
      <c r="I295" s="2">
        <f>SQRTPI(J291)*0.1233211111</f>
        <v>6.804155869</v>
      </c>
      <c r="K295" s="169"/>
      <c r="L295" s="169"/>
    </row>
    <row r="296" ht="15.75" customHeight="1">
      <c r="J296" s="2">
        <f>869-10</f>
        <v>859</v>
      </c>
      <c r="K296" s="169"/>
      <c r="L296" s="169"/>
    </row>
    <row r="297" ht="15.75" customHeight="1">
      <c r="J297" s="2">
        <f>J296*2</f>
        <v>1718</v>
      </c>
      <c r="K297" s="169"/>
      <c r="L297" s="169"/>
    </row>
    <row r="298" ht="15.75" customHeight="1">
      <c r="K298" s="169"/>
      <c r="L298" s="169"/>
    </row>
    <row r="299" ht="15.75" customHeight="1">
      <c r="J299" s="2">
        <f>869-245</f>
        <v>624</v>
      </c>
      <c r="K299" s="169"/>
      <c r="L299" s="169"/>
    </row>
    <row r="300" ht="15.75" customHeight="1">
      <c r="J300" s="2">
        <f>277-625</f>
        <v>-348</v>
      </c>
      <c r="K300" s="169"/>
      <c r="L300" s="169"/>
    </row>
    <row r="301" ht="15.75" customHeight="1">
      <c r="J301" s="2">
        <f>64*64</f>
        <v>4096</v>
      </c>
      <c r="K301" s="169"/>
      <c r="L301" s="169"/>
    </row>
    <row r="302" ht="15.75" customHeight="1">
      <c r="J302" s="2">
        <f>64*46</f>
        <v>2944</v>
      </c>
      <c r="K302" s="169"/>
      <c r="L302" s="169"/>
    </row>
    <row r="303" ht="15.75" customHeight="1">
      <c r="L303" s="169"/>
    </row>
    <row r="304" ht="15.75" customHeight="1">
      <c r="J304" s="2">
        <v>547.0</v>
      </c>
      <c r="K304" s="169">
        <f>SQRTPI(J304)</f>
        <v>41.45420584</v>
      </c>
      <c r="L304" s="169"/>
    </row>
    <row r="305" ht="15.75" customHeight="1">
      <c r="K305" s="169">
        <f>J304*J304</f>
        <v>299209</v>
      </c>
      <c r="L305" s="169"/>
    </row>
    <row r="306" ht="15.75" customHeight="1">
      <c r="K306" s="169">
        <f>318*813</f>
        <v>258534</v>
      </c>
      <c r="L306" s="169"/>
    </row>
    <row r="307" ht="15.75" customHeight="1">
      <c r="K307" s="169"/>
      <c r="L307" s="169"/>
    </row>
    <row r="308" ht="15.75" customHeight="1">
      <c r="I308" s="2">
        <f>SQRTPI(J304)*0.1233211111</f>
        <v>5.112178723</v>
      </c>
      <c r="K308" s="169"/>
      <c r="L308" s="169"/>
    </row>
    <row r="309" ht="15.75" customHeight="1">
      <c r="J309" s="2">
        <f>869-547</f>
        <v>322</v>
      </c>
      <c r="K309" s="169"/>
      <c r="L309" s="169"/>
    </row>
    <row r="310" ht="15.75" customHeight="1">
      <c r="J310" s="2">
        <f>J309*2</f>
        <v>644</v>
      </c>
      <c r="K310" s="169"/>
      <c r="L310" s="169"/>
    </row>
    <row r="311" ht="15.75" customHeight="1">
      <c r="K311" s="169"/>
      <c r="L311" s="169"/>
    </row>
    <row r="312" ht="15.75" customHeight="1">
      <c r="J312" s="2">
        <f t="shared" ref="J312:J313" si="18">869-733</f>
        <v>136</v>
      </c>
      <c r="K312" s="169"/>
      <c r="L312" s="169"/>
    </row>
    <row r="313" ht="15.75" customHeight="1">
      <c r="J313" s="2">
        <f t="shared" si="18"/>
        <v>136</v>
      </c>
      <c r="K313" s="169"/>
      <c r="L313" s="169"/>
    </row>
    <row r="314" ht="15.75" customHeight="1">
      <c r="J314" s="2">
        <f>70*70</f>
        <v>4900</v>
      </c>
      <c r="K314" s="169"/>
      <c r="L314" s="169"/>
    </row>
    <row r="315" ht="15.75" customHeight="1">
      <c r="J315" s="2">
        <f>64*46</f>
        <v>2944</v>
      </c>
      <c r="K315" s="169"/>
      <c r="L315" s="169"/>
    </row>
    <row r="316" ht="15.75" customHeight="1">
      <c r="L316" s="169"/>
    </row>
    <row r="317" ht="15.75" customHeight="1">
      <c r="J317" s="2">
        <v>719.0</v>
      </c>
      <c r="K317" s="169">
        <f>SQRTPI(J317)</f>
        <v>47.52688837</v>
      </c>
      <c r="L317" s="169"/>
    </row>
    <row r="318" ht="15.75" customHeight="1">
      <c r="K318" s="169">
        <f>J317*J317</f>
        <v>516961</v>
      </c>
      <c r="L318" s="169"/>
    </row>
    <row r="319" ht="15.75" customHeight="1">
      <c r="K319" s="169">
        <f>318*813</f>
        <v>258534</v>
      </c>
      <c r="L319" s="169"/>
    </row>
    <row r="320" ht="15.75" customHeight="1">
      <c r="K320" s="169"/>
      <c r="L320" s="169"/>
    </row>
    <row r="321" ht="15.75" customHeight="1">
      <c r="I321" s="2">
        <f>SQRTPI(J317)*0.1233211111</f>
        <v>5.861068681</v>
      </c>
      <c r="K321" s="169"/>
      <c r="L321" s="169"/>
    </row>
    <row r="322" ht="15.75" customHeight="1">
      <c r="J322" s="2">
        <f>719-547</f>
        <v>172</v>
      </c>
      <c r="K322" s="169"/>
      <c r="L322" s="169"/>
    </row>
    <row r="323" ht="15.75" customHeight="1">
      <c r="J323" s="2">
        <f>J322*2</f>
        <v>344</v>
      </c>
      <c r="K323" s="169"/>
      <c r="L323" s="169"/>
    </row>
    <row r="324" ht="15.75" customHeight="1">
      <c r="K324" s="169"/>
      <c r="L324" s="169"/>
    </row>
    <row r="325" ht="15.75" customHeight="1">
      <c r="J325" s="2">
        <f>723-681</f>
        <v>42</v>
      </c>
      <c r="K325" s="169"/>
      <c r="L325" s="169"/>
    </row>
    <row r="326" ht="15.75" customHeight="1">
      <c r="J326" s="2">
        <f>869-733</f>
        <v>136</v>
      </c>
      <c r="K326" s="169"/>
      <c r="L326" s="169"/>
    </row>
    <row r="327" ht="15.75" customHeight="1">
      <c r="J327" s="2">
        <f>52*52</f>
        <v>2704</v>
      </c>
      <c r="K327" s="169"/>
      <c r="L327" s="169"/>
    </row>
    <row r="328" ht="15.75" customHeight="1">
      <c r="J328" s="2">
        <f>64*46</f>
        <v>2944</v>
      </c>
      <c r="K328" s="169"/>
      <c r="L328" s="169"/>
    </row>
    <row r="329" ht="15.75" customHeight="1">
      <c r="L329" s="169"/>
    </row>
    <row r="330" ht="15.75" customHeight="1">
      <c r="L330" s="169"/>
    </row>
    <row r="331" ht="15.75" customHeight="1">
      <c r="L331" s="169"/>
    </row>
    <row r="332" ht="15.75" customHeight="1">
      <c r="L332" s="169"/>
    </row>
    <row r="333" ht="15.75" customHeight="1">
      <c r="L333" s="169"/>
    </row>
    <row r="334" ht="15.75" customHeight="1">
      <c r="L334" s="169"/>
    </row>
    <row r="335" ht="15.75" customHeight="1">
      <c r="L335" s="169"/>
    </row>
    <row r="336" ht="15.75" customHeight="1">
      <c r="L336" s="169"/>
    </row>
    <row r="337" ht="15.75" customHeight="1">
      <c r="L337" s="169"/>
    </row>
    <row r="338" ht="15.75" customHeight="1">
      <c r="L338" s="169"/>
    </row>
    <row r="339" ht="15.75" customHeight="1">
      <c r="L339" s="169"/>
    </row>
    <row r="340" ht="15.75" customHeight="1">
      <c r="L340" s="169"/>
    </row>
    <row r="341" ht="15.75" customHeight="1">
      <c r="L341" s="169"/>
    </row>
    <row r="342" ht="15.75" customHeight="1">
      <c r="L342" s="169"/>
    </row>
    <row r="343" ht="15.75" customHeight="1">
      <c r="L343" s="169"/>
    </row>
    <row r="344" ht="15.75" customHeight="1">
      <c r="L344" s="169"/>
    </row>
    <row r="345" ht="15.75" customHeight="1">
      <c r="L345" s="169"/>
    </row>
    <row r="346" ht="15.75" customHeight="1">
      <c r="L346" s="169"/>
    </row>
    <row r="347" ht="15.75" customHeight="1">
      <c r="L347" s="169"/>
    </row>
    <row r="348" ht="15.75" customHeight="1">
      <c r="L348" s="169"/>
    </row>
    <row r="349" ht="15.75" customHeight="1">
      <c r="L349" s="169"/>
    </row>
    <row r="350" ht="15.75" customHeight="1">
      <c r="L350" s="169"/>
    </row>
    <row r="351" ht="15.75" customHeight="1">
      <c r="L351" s="169"/>
    </row>
    <row r="352" ht="15.75" customHeight="1">
      <c r="L352" s="169"/>
    </row>
    <row r="353" ht="15.75" customHeight="1">
      <c r="L353" s="169"/>
    </row>
    <row r="354" ht="15.75" customHeight="1">
      <c r="L354" s="169"/>
    </row>
    <row r="355" ht="15.75" customHeight="1">
      <c r="L355" s="169"/>
    </row>
    <row r="356" ht="15.75" customHeight="1">
      <c r="L356" s="169"/>
    </row>
    <row r="357" ht="15.75" customHeight="1">
      <c r="L357" s="169"/>
    </row>
    <row r="358" ht="15.75" customHeight="1">
      <c r="L358" s="169"/>
    </row>
    <row r="359" ht="15.75" customHeight="1">
      <c r="L359" s="169"/>
    </row>
    <row r="360" ht="15.75" customHeight="1">
      <c r="L360" s="169"/>
    </row>
    <row r="361" ht="15.75" customHeight="1">
      <c r="L361" s="169"/>
    </row>
    <row r="362" ht="15.75" customHeight="1">
      <c r="L362" s="169"/>
    </row>
    <row r="363" ht="15.75" customHeight="1">
      <c r="L363" s="169"/>
    </row>
    <row r="364" ht="15.75" customHeight="1">
      <c r="L364" s="169"/>
    </row>
    <row r="365" ht="15.75" customHeight="1">
      <c r="L365" s="169"/>
    </row>
    <row r="366" ht="15.75" customHeight="1">
      <c r="L366" s="169"/>
    </row>
    <row r="367" ht="15.75" customHeight="1">
      <c r="L367" s="169"/>
    </row>
    <row r="368" ht="15.75" customHeight="1">
      <c r="L368" s="169"/>
    </row>
    <row r="369" ht="15.75" customHeight="1">
      <c r="L369" s="169"/>
    </row>
    <row r="370" ht="15.75" customHeight="1">
      <c r="L370" s="169"/>
    </row>
    <row r="371" ht="15.75" customHeight="1">
      <c r="L371" s="169"/>
    </row>
    <row r="372" ht="15.75" customHeight="1">
      <c r="L372" s="169"/>
    </row>
    <row r="373" ht="15.75" customHeight="1">
      <c r="L373" s="169"/>
    </row>
    <row r="374" ht="15.75" customHeight="1">
      <c r="L374" s="169"/>
    </row>
    <row r="375" ht="15.75" customHeight="1">
      <c r="L375" s="169"/>
    </row>
    <row r="376" ht="15.75" customHeight="1">
      <c r="L376" s="169"/>
    </row>
    <row r="377" ht="15.75" customHeight="1">
      <c r="L377" s="169"/>
    </row>
    <row r="378" ht="15.75" customHeight="1">
      <c r="L378" s="169"/>
    </row>
    <row r="379" ht="15.75" customHeight="1">
      <c r="L379" s="169"/>
    </row>
    <row r="380" ht="15.75" customHeight="1">
      <c r="L380" s="169"/>
    </row>
    <row r="381" ht="15.75" customHeight="1">
      <c r="L381" s="169"/>
    </row>
    <row r="382" ht="15.75" customHeight="1">
      <c r="L382" s="169"/>
    </row>
    <row r="383" ht="15.75" customHeight="1">
      <c r="L383" s="169"/>
    </row>
    <row r="384" ht="15.75" customHeight="1">
      <c r="K384" s="169"/>
      <c r="L384" s="169"/>
    </row>
    <row r="385" ht="15.75" customHeight="1">
      <c r="K385" s="169"/>
      <c r="L385" s="169"/>
    </row>
    <row r="386" ht="15.75" customHeight="1">
      <c r="K386" s="169"/>
      <c r="L386" s="169"/>
    </row>
    <row r="387" ht="15.75" customHeight="1">
      <c r="K387" s="169"/>
      <c r="L387" s="169"/>
    </row>
    <row r="388" ht="15.75" customHeight="1">
      <c r="K388" s="169"/>
      <c r="L388" s="169"/>
    </row>
    <row r="389" ht="15.75" customHeight="1">
      <c r="K389" s="169"/>
      <c r="L389" s="169"/>
    </row>
    <row r="390" ht="15.75" customHeight="1">
      <c r="K390" s="169"/>
      <c r="L390" s="169"/>
    </row>
    <row r="391" ht="15.75" customHeight="1">
      <c r="K391" s="169"/>
      <c r="L391" s="169"/>
    </row>
    <row r="392" ht="15.75" customHeight="1">
      <c r="K392" s="169"/>
      <c r="L392" s="169"/>
    </row>
    <row r="393" ht="15.75" customHeight="1">
      <c r="K393" s="169"/>
      <c r="L393" s="169"/>
    </row>
    <row r="394" ht="15.75" customHeight="1">
      <c r="K394" s="169"/>
      <c r="L394" s="169"/>
    </row>
    <row r="395" ht="15.75" customHeight="1">
      <c r="K395" s="169"/>
      <c r="L395" s="169"/>
    </row>
    <row r="396" ht="15.75" customHeight="1">
      <c r="K396" s="169"/>
      <c r="L396" s="169"/>
    </row>
    <row r="397" ht="15.75" customHeight="1">
      <c r="K397" s="169"/>
      <c r="L397" s="169"/>
    </row>
    <row r="398" ht="15.75" customHeight="1">
      <c r="K398" s="169"/>
      <c r="L398" s="169"/>
    </row>
    <row r="399" ht="15.75" customHeight="1">
      <c r="K399" s="169"/>
      <c r="L399" s="169"/>
    </row>
    <row r="400" ht="15.75" customHeight="1">
      <c r="K400" s="169"/>
      <c r="L400" s="169"/>
    </row>
    <row r="401" ht="15.75" customHeight="1">
      <c r="K401" s="169"/>
      <c r="L401" s="169"/>
    </row>
    <row r="402" ht="15.75" customHeight="1">
      <c r="K402" s="169"/>
      <c r="L402" s="169"/>
    </row>
    <row r="403" ht="15.75" customHeight="1">
      <c r="K403" s="169"/>
      <c r="L403" s="169"/>
    </row>
    <row r="404" ht="15.75" customHeight="1">
      <c r="K404" s="169"/>
      <c r="L404" s="169"/>
    </row>
    <row r="405" ht="15.75" customHeight="1">
      <c r="K405" s="169"/>
      <c r="L405" s="169"/>
    </row>
    <row r="406" ht="15.75" customHeight="1">
      <c r="K406" s="169"/>
      <c r="L406" s="169"/>
    </row>
    <row r="407" ht="15.75" customHeight="1">
      <c r="K407" s="169"/>
      <c r="L407" s="169"/>
    </row>
    <row r="408" ht="15.75" customHeight="1">
      <c r="K408" s="169"/>
      <c r="L408" s="169"/>
    </row>
    <row r="409" ht="15.75" customHeight="1">
      <c r="K409" s="169"/>
      <c r="L409" s="169"/>
    </row>
    <row r="410" ht="15.75" customHeight="1">
      <c r="K410" s="169"/>
      <c r="L410" s="169"/>
    </row>
    <row r="411" ht="15.75" customHeight="1">
      <c r="K411" s="169"/>
      <c r="L411" s="169"/>
    </row>
    <row r="412" ht="15.75" customHeight="1">
      <c r="K412" s="169"/>
      <c r="L412" s="169"/>
    </row>
    <row r="413" ht="15.75" customHeight="1">
      <c r="K413" s="169"/>
      <c r="L413" s="169"/>
    </row>
    <row r="414" ht="15.75" customHeight="1">
      <c r="K414" s="169"/>
      <c r="L414" s="169"/>
    </row>
    <row r="415" ht="15.75" customHeight="1">
      <c r="K415" s="169"/>
      <c r="L415" s="169"/>
    </row>
    <row r="416" ht="15.75" customHeight="1">
      <c r="K416" s="169"/>
      <c r="L416" s="169"/>
    </row>
    <row r="417" ht="15.75" customHeight="1">
      <c r="K417" s="169"/>
      <c r="L417" s="169"/>
    </row>
    <row r="418" ht="15.75" customHeight="1">
      <c r="K418" s="169"/>
      <c r="L418" s="169"/>
    </row>
    <row r="419" ht="15.75" customHeight="1">
      <c r="K419" s="169"/>
      <c r="L419" s="169"/>
    </row>
    <row r="420" ht="15.75" customHeight="1">
      <c r="K420" s="169"/>
      <c r="L420" s="169"/>
    </row>
    <row r="421" ht="15.75" customHeight="1">
      <c r="K421" s="169"/>
      <c r="L421" s="169"/>
    </row>
    <row r="422" ht="15.75" customHeight="1">
      <c r="K422" s="169"/>
      <c r="L422" s="169"/>
    </row>
    <row r="423" ht="15.75" customHeight="1">
      <c r="K423" s="169"/>
      <c r="L423" s="169"/>
    </row>
    <row r="424" ht="15.75" customHeight="1">
      <c r="K424" s="169"/>
      <c r="L424" s="169"/>
    </row>
    <row r="425" ht="15.75" customHeight="1">
      <c r="K425" s="169"/>
      <c r="L425" s="169"/>
    </row>
    <row r="426" ht="15.75" customHeight="1">
      <c r="K426" s="169"/>
      <c r="L426" s="169"/>
    </row>
    <row r="427" ht="15.75" customHeight="1">
      <c r="K427" s="169"/>
      <c r="L427" s="169"/>
    </row>
    <row r="428" ht="15.75" customHeight="1">
      <c r="K428" s="169"/>
      <c r="L428" s="169"/>
    </row>
    <row r="429" ht="15.75" customHeight="1">
      <c r="K429" s="169"/>
      <c r="L429" s="169"/>
    </row>
    <row r="430" ht="15.75" customHeight="1">
      <c r="K430" s="169"/>
      <c r="L430" s="169"/>
    </row>
    <row r="431" ht="15.75" customHeight="1">
      <c r="K431" s="169"/>
      <c r="L431" s="169"/>
    </row>
    <row r="432" ht="15.75" customHeight="1">
      <c r="K432" s="169"/>
      <c r="L432" s="169"/>
    </row>
    <row r="433" ht="15.75" customHeight="1">
      <c r="K433" s="169"/>
      <c r="L433" s="169"/>
    </row>
    <row r="434" ht="15.75" customHeight="1">
      <c r="K434" s="169"/>
      <c r="L434" s="169"/>
    </row>
    <row r="435" ht="15.75" customHeight="1">
      <c r="K435" s="169"/>
      <c r="L435" s="169"/>
    </row>
    <row r="436" ht="15.75" customHeight="1">
      <c r="K436" s="169"/>
      <c r="L436" s="169"/>
    </row>
    <row r="437" ht="15.75" customHeight="1">
      <c r="K437" s="169"/>
      <c r="L437" s="169"/>
    </row>
    <row r="438" ht="15.75" customHeight="1">
      <c r="K438" s="169"/>
      <c r="L438" s="169"/>
    </row>
    <row r="439" ht="15.75" customHeight="1">
      <c r="K439" s="169"/>
      <c r="L439" s="169"/>
    </row>
    <row r="440" ht="15.75" customHeight="1">
      <c r="K440" s="169"/>
      <c r="L440" s="169"/>
    </row>
    <row r="441" ht="15.75" customHeight="1">
      <c r="K441" s="169"/>
      <c r="L441" s="169"/>
    </row>
    <row r="442" ht="15.75" customHeight="1">
      <c r="K442" s="169"/>
      <c r="L442" s="169"/>
    </row>
    <row r="443" ht="15.75" customHeight="1">
      <c r="K443" s="169"/>
      <c r="L443" s="169"/>
    </row>
    <row r="444" ht="15.75" customHeight="1">
      <c r="K444" s="169"/>
      <c r="L444" s="169"/>
    </row>
    <row r="445" ht="15.75" customHeight="1">
      <c r="K445" s="169"/>
      <c r="L445" s="169"/>
    </row>
    <row r="446" ht="15.75" customHeight="1">
      <c r="K446" s="169"/>
      <c r="L446" s="169"/>
    </row>
    <row r="447" ht="15.75" customHeight="1">
      <c r="K447" s="169"/>
      <c r="L447" s="169"/>
    </row>
    <row r="448" ht="15.75" customHeight="1">
      <c r="K448" s="169"/>
      <c r="L448" s="169"/>
    </row>
    <row r="449" ht="15.75" customHeight="1">
      <c r="K449" s="169"/>
      <c r="L449" s="169"/>
    </row>
    <row r="450" ht="15.75" customHeight="1">
      <c r="K450" s="169"/>
      <c r="L450" s="169"/>
    </row>
    <row r="451" ht="15.75" customHeight="1">
      <c r="K451" s="169"/>
      <c r="L451" s="169"/>
    </row>
    <row r="452" ht="15.75" customHeight="1">
      <c r="K452" s="169"/>
      <c r="L452" s="169"/>
    </row>
    <row r="453" ht="15.75" customHeight="1">
      <c r="K453" s="169"/>
      <c r="L453" s="169"/>
    </row>
    <row r="454" ht="15.75" customHeight="1">
      <c r="K454" s="169"/>
      <c r="L454" s="169"/>
    </row>
    <row r="455" ht="15.75" customHeight="1">
      <c r="K455" s="169"/>
      <c r="L455" s="169"/>
    </row>
    <row r="456" ht="15.75" customHeight="1">
      <c r="K456" s="169"/>
      <c r="L456" s="169"/>
    </row>
    <row r="457" ht="15.75" customHeight="1">
      <c r="K457" s="169"/>
      <c r="L457" s="169"/>
    </row>
    <row r="458" ht="15.75" customHeight="1">
      <c r="K458" s="169"/>
      <c r="L458" s="169"/>
    </row>
    <row r="459" ht="15.75" customHeight="1">
      <c r="K459" s="169"/>
      <c r="L459" s="169"/>
    </row>
    <row r="460" ht="15.75" customHeight="1">
      <c r="K460" s="169"/>
      <c r="L460" s="169"/>
    </row>
    <row r="461" ht="15.75" customHeight="1">
      <c r="K461" s="169"/>
      <c r="L461" s="169"/>
    </row>
    <row r="462" ht="15.75" customHeight="1">
      <c r="K462" s="169"/>
      <c r="L462" s="169"/>
    </row>
    <row r="463" ht="15.75" customHeight="1">
      <c r="K463" s="169"/>
      <c r="L463" s="169"/>
    </row>
    <row r="464" ht="15.75" customHeight="1">
      <c r="K464" s="169"/>
      <c r="L464" s="169"/>
    </row>
    <row r="465" ht="15.75" customHeight="1">
      <c r="K465" s="169"/>
      <c r="L465" s="169"/>
    </row>
    <row r="466" ht="15.75" customHeight="1">
      <c r="K466" s="169"/>
      <c r="L466" s="169"/>
    </row>
    <row r="467" ht="15.75" customHeight="1">
      <c r="K467" s="169"/>
      <c r="L467" s="169"/>
    </row>
    <row r="468" ht="15.75" customHeight="1">
      <c r="K468" s="169"/>
      <c r="L468" s="169"/>
    </row>
    <row r="469" ht="15.75" customHeight="1">
      <c r="K469" s="169"/>
      <c r="L469" s="169"/>
    </row>
    <row r="470" ht="15.75" customHeight="1">
      <c r="K470" s="169"/>
      <c r="L470" s="169"/>
    </row>
    <row r="471" ht="15.75" customHeight="1">
      <c r="K471" s="169"/>
      <c r="L471" s="169"/>
    </row>
    <row r="472" ht="15.75" customHeight="1">
      <c r="K472" s="169"/>
      <c r="L472" s="169"/>
    </row>
    <row r="473" ht="15.75" customHeight="1">
      <c r="K473" s="169"/>
      <c r="L473" s="169"/>
    </row>
    <row r="474" ht="15.75" customHeight="1">
      <c r="K474" s="169"/>
      <c r="L474" s="169"/>
    </row>
    <row r="475" ht="15.75" customHeight="1">
      <c r="K475" s="169"/>
      <c r="L475" s="169"/>
    </row>
    <row r="476" ht="15.75" customHeight="1">
      <c r="K476" s="169"/>
      <c r="L476" s="169"/>
    </row>
    <row r="477" ht="15.75" customHeight="1">
      <c r="K477" s="169"/>
      <c r="L477" s="169"/>
    </row>
    <row r="478" ht="15.75" customHeight="1">
      <c r="K478" s="169"/>
      <c r="L478" s="169"/>
    </row>
    <row r="479" ht="15.75" customHeight="1">
      <c r="K479" s="169"/>
      <c r="L479" s="169"/>
    </row>
    <row r="480" ht="15.75" customHeight="1">
      <c r="K480" s="169"/>
      <c r="L480" s="169"/>
    </row>
    <row r="481" ht="15.75" customHeight="1">
      <c r="K481" s="169"/>
      <c r="L481" s="169"/>
    </row>
    <row r="482" ht="15.75" customHeight="1">
      <c r="K482" s="169"/>
      <c r="L482" s="169"/>
    </row>
    <row r="483" ht="15.75" customHeight="1">
      <c r="K483" s="169"/>
      <c r="L483" s="169"/>
    </row>
    <row r="484" ht="15.75" customHeight="1">
      <c r="K484" s="169"/>
      <c r="L484" s="169"/>
    </row>
    <row r="485" ht="15.75" customHeight="1">
      <c r="K485" s="169"/>
      <c r="L485" s="169"/>
    </row>
    <row r="486" ht="15.75" customHeight="1">
      <c r="K486" s="169"/>
      <c r="L486" s="169"/>
    </row>
    <row r="487" ht="15.75" customHeight="1">
      <c r="K487" s="169"/>
      <c r="L487" s="169"/>
    </row>
    <row r="488" ht="15.75" customHeight="1">
      <c r="K488" s="169"/>
      <c r="L488" s="169"/>
    </row>
    <row r="489" ht="15.75" customHeight="1">
      <c r="K489" s="169"/>
      <c r="L489" s="169"/>
    </row>
    <row r="490" ht="15.75" customHeight="1">
      <c r="K490" s="169"/>
      <c r="L490" s="169"/>
    </row>
    <row r="491" ht="15.75" customHeight="1">
      <c r="K491" s="169"/>
      <c r="L491" s="169"/>
    </row>
    <row r="492" ht="15.75" customHeight="1">
      <c r="K492" s="169"/>
      <c r="L492" s="169"/>
    </row>
    <row r="493" ht="15.75" customHeight="1">
      <c r="K493" s="169"/>
      <c r="L493" s="169"/>
    </row>
    <row r="494" ht="15.75" customHeight="1">
      <c r="K494" s="169"/>
      <c r="L494" s="169"/>
    </row>
    <row r="495" ht="15.75" customHeight="1">
      <c r="K495" s="169"/>
      <c r="L495" s="169"/>
    </row>
    <row r="496" ht="15.75" customHeight="1">
      <c r="K496" s="169"/>
      <c r="L496" s="169"/>
    </row>
    <row r="497" ht="15.75" customHeight="1">
      <c r="K497" s="169"/>
      <c r="L497" s="169"/>
    </row>
    <row r="498" ht="15.75" customHeight="1">
      <c r="K498" s="169"/>
      <c r="L498" s="169"/>
    </row>
    <row r="499" ht="15.75" customHeight="1">
      <c r="K499" s="169"/>
      <c r="L499" s="169"/>
    </row>
    <row r="500" ht="15.75" customHeight="1">
      <c r="K500" s="169"/>
      <c r="L500" s="169"/>
    </row>
    <row r="501" ht="15.75" customHeight="1">
      <c r="K501" s="169"/>
      <c r="L501" s="169"/>
    </row>
    <row r="502" ht="15.75" customHeight="1">
      <c r="K502" s="169"/>
      <c r="L502" s="169"/>
    </row>
    <row r="503" ht="15.75" customHeight="1">
      <c r="K503" s="169"/>
      <c r="L503" s="169"/>
    </row>
    <row r="504" ht="15.75" customHeight="1">
      <c r="K504" s="169"/>
      <c r="L504" s="169"/>
    </row>
    <row r="505" ht="15.75" customHeight="1">
      <c r="K505" s="169"/>
      <c r="L505" s="169"/>
    </row>
    <row r="506" ht="15.75" customHeight="1">
      <c r="K506" s="169"/>
      <c r="L506" s="169"/>
    </row>
    <row r="507" ht="15.75" customHeight="1">
      <c r="K507" s="169"/>
      <c r="L507" s="169"/>
    </row>
    <row r="508" ht="15.75" customHeight="1">
      <c r="K508" s="169"/>
      <c r="L508" s="169"/>
    </row>
    <row r="509" ht="15.75" customHeight="1">
      <c r="K509" s="169"/>
      <c r="L509" s="169"/>
    </row>
    <row r="510" ht="15.75" customHeight="1">
      <c r="K510" s="169"/>
      <c r="L510" s="169"/>
    </row>
    <row r="511" ht="15.75" customHeight="1">
      <c r="K511" s="169"/>
      <c r="L511" s="169"/>
    </row>
    <row r="512" ht="15.75" customHeight="1">
      <c r="K512" s="169"/>
      <c r="L512" s="169"/>
    </row>
    <row r="513" ht="15.75" customHeight="1">
      <c r="K513" s="169"/>
      <c r="L513" s="169"/>
    </row>
    <row r="514" ht="15.75" customHeight="1">
      <c r="K514" s="169"/>
      <c r="L514" s="169"/>
    </row>
    <row r="515" ht="15.75" customHeight="1">
      <c r="K515" s="169"/>
      <c r="L515" s="169"/>
    </row>
    <row r="516" ht="15.75" customHeight="1">
      <c r="K516" s="169"/>
      <c r="L516" s="169"/>
    </row>
    <row r="517" ht="15.75" customHeight="1">
      <c r="K517" s="169"/>
      <c r="L517" s="169"/>
    </row>
    <row r="518" ht="15.75" customHeight="1">
      <c r="K518" s="169"/>
      <c r="L518" s="169"/>
    </row>
    <row r="519" ht="15.75" customHeight="1">
      <c r="K519" s="169"/>
      <c r="L519" s="169"/>
    </row>
    <row r="520" ht="15.75" customHeight="1">
      <c r="K520" s="169"/>
      <c r="L520" s="169"/>
    </row>
    <row r="521" ht="15.75" customHeight="1">
      <c r="K521" s="169"/>
      <c r="L521" s="169"/>
    </row>
    <row r="522" ht="15.75" customHeight="1">
      <c r="K522" s="169"/>
      <c r="L522" s="169"/>
    </row>
    <row r="523" ht="15.75" customHeight="1">
      <c r="K523" s="169"/>
      <c r="L523" s="169"/>
    </row>
    <row r="524" ht="15.75" customHeight="1">
      <c r="K524" s="169"/>
      <c r="L524" s="169"/>
    </row>
    <row r="525" ht="15.75" customHeight="1">
      <c r="K525" s="169"/>
      <c r="L525" s="169"/>
    </row>
    <row r="526" ht="15.75" customHeight="1">
      <c r="K526" s="169"/>
      <c r="L526" s="169"/>
    </row>
    <row r="527" ht="15.75" customHeight="1">
      <c r="K527" s="169"/>
      <c r="L527" s="169"/>
    </row>
    <row r="528" ht="15.75" customHeight="1">
      <c r="K528" s="169"/>
      <c r="L528" s="169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0.44"/>
    <col customWidth="1" min="3" max="3" width="13.44"/>
    <col customWidth="1" min="4" max="4" width="4.67"/>
    <col customWidth="1" min="5" max="5" width="7.11"/>
    <col customWidth="1" min="6" max="6" width="4.33"/>
    <col customWidth="1" min="7" max="8" width="5.11"/>
    <col customWidth="1" min="9" max="10" width="17.22"/>
    <col customWidth="1" min="11" max="12" width="33.89"/>
    <col customWidth="1" min="13" max="13" width="4.22"/>
    <col customWidth="1" min="14" max="14" width="3.33"/>
    <col customWidth="1" min="15" max="15" width="16.33"/>
    <col customWidth="1" min="16" max="16" width="9.22"/>
    <col customWidth="1" min="17" max="17" width="12.89"/>
    <col customWidth="1" min="18" max="18" width="19.44"/>
    <col customWidth="1" min="19" max="19" width="3.22"/>
    <col customWidth="1" min="20" max="20" width="5.33"/>
    <col customWidth="1" min="21" max="21" width="5.44"/>
    <col customWidth="1" min="22" max="22" width="4.56"/>
    <col customWidth="1" min="23" max="24" width="3.33"/>
    <col customWidth="1" min="25" max="25" width="19.0"/>
    <col customWidth="1" min="26" max="26" width="5.89"/>
    <col customWidth="1" min="27" max="27" width="7.0"/>
    <col customWidth="1" min="28" max="28" width="3.89"/>
    <col customWidth="1" min="29" max="29" width="6.33"/>
    <col customWidth="1" min="30" max="30" width="5.89"/>
  </cols>
  <sheetData>
    <row r="1" ht="15.75" customHeight="1">
      <c r="A1" s="1" t="str">
        <f>CONCAT(Victory!AC134,Victory!AD134)</f>
        <v>83</v>
      </c>
      <c r="B1" s="1" t="str">
        <f>Victory!AE134</f>
        <v/>
      </c>
      <c r="D1" s="2">
        <v>4.0</v>
      </c>
      <c r="E1" s="3" t="s">
        <v>0</v>
      </c>
      <c r="F1" s="4" t="str">
        <f>MID(SUM(A$1:C$1),1,1)</f>
        <v>0</v>
      </c>
      <c r="G1" s="5">
        <f>IF(LEN(SUM(A$1:C$1))&gt;1,MID(SUM(A$1:C$1),2,1),0)</f>
        <v>0</v>
      </c>
      <c r="H1" s="4">
        <f>SUM(F1+G1)</f>
        <v>0</v>
      </c>
      <c r="I1" s="6" t="str">
        <f>MID(D4,1,1)</f>
        <v>0</v>
      </c>
      <c r="J1" s="6"/>
      <c r="K1" s="7" t="str">
        <f>mid(D4,2,1)</f>
        <v/>
      </c>
      <c r="L1" s="7"/>
      <c r="M1" s="8">
        <f>mid(C4,2,1)-1</f>
        <v>-1</v>
      </c>
      <c r="O1" s="9" t="str">
        <f>mid(D3,2,1)</f>
        <v/>
      </c>
      <c r="P1" s="9">
        <f>mid(D3,1,1)*mid(C3,2,1)</f>
        <v>0</v>
      </c>
      <c r="Q1" s="9" t="str">
        <f>mid(C3,1,1)</f>
        <v>0</v>
      </c>
      <c r="T1" s="2">
        <v>328.0</v>
      </c>
      <c r="V1" s="2" t="s">
        <v>1</v>
      </c>
      <c r="X1" s="10" t="s">
        <v>2</v>
      </c>
      <c r="AD1" s="2" t="s">
        <v>3</v>
      </c>
    </row>
    <row r="2" ht="15.75" customHeight="1">
      <c r="C2" s="11">
        <f>A1+B1</f>
        <v>83</v>
      </c>
      <c r="D2" s="11">
        <f>C1*2</f>
        <v>0</v>
      </c>
      <c r="E2" s="3">
        <f>C2*C2</f>
        <v>6889</v>
      </c>
      <c r="F2" s="4"/>
      <c r="G2" s="13"/>
      <c r="H2" s="4"/>
      <c r="I2" s="14"/>
      <c r="J2" s="14"/>
      <c r="K2" s="15"/>
      <c r="L2" s="15"/>
      <c r="M2" s="14"/>
      <c r="N2" s="16"/>
      <c r="O2" s="17"/>
      <c r="P2" s="9"/>
      <c r="Q2" s="9"/>
    </row>
    <row r="3" ht="15.75" customHeight="1">
      <c r="A3" s="19" t="str">
        <f>MID(D5,1,1)</f>
        <v>0</v>
      </c>
      <c r="B3" s="20" t="str">
        <f>mid(D5,2,1)</f>
        <v/>
      </c>
      <c r="C3" s="22">
        <f>A1*C1</f>
        <v>0</v>
      </c>
      <c r="D3" s="22">
        <f>A1*B1</f>
        <v>0</v>
      </c>
      <c r="E3" s="2">
        <f>D4*D4</f>
        <v>0</v>
      </c>
      <c r="F3" s="4">
        <f>H1</f>
        <v>0</v>
      </c>
      <c r="G3" s="5">
        <f>G1</f>
        <v>0</v>
      </c>
      <c r="H3" s="4" t="str">
        <f>F1</f>
        <v>0</v>
      </c>
      <c r="I3" s="23" t="str">
        <f>mid(D5,1,1)</f>
        <v>0</v>
      </c>
      <c r="J3" s="23"/>
      <c r="K3" s="24" t="str">
        <f>mid(D5,2,1)</f>
        <v/>
      </c>
      <c r="L3" s="24"/>
      <c r="M3" s="23">
        <f>mid(D6,1,1) + mid(D6,2,1)</f>
        <v>0</v>
      </c>
      <c r="N3" s="16"/>
      <c r="O3" s="25">
        <f>F6</f>
        <v>-1</v>
      </c>
      <c r="P3" s="26">
        <f>H6-G6</f>
        <v>0</v>
      </c>
      <c r="Q3" s="26" t="str">
        <f>G6</f>
        <v/>
      </c>
      <c r="U3" s="2" t="s">
        <v>1</v>
      </c>
      <c r="V3" s="2" t="str">
        <f>I6</f>
        <v/>
      </c>
      <c r="X3" s="2" t="str">
        <f t="shared" ref="X3:AC3" si="1">CONCAT($V3,X$2)</f>
        <v/>
      </c>
      <c r="Y3" s="2" t="str">
        <f t="shared" si="1"/>
        <v/>
      </c>
      <c r="Z3" s="2" t="str">
        <f t="shared" si="1"/>
        <v/>
      </c>
      <c r="AA3" s="2" t="str">
        <f t="shared" si="1"/>
        <v/>
      </c>
      <c r="AB3" s="2" t="str">
        <f t="shared" si="1"/>
        <v/>
      </c>
      <c r="AC3" s="2" t="str">
        <f t="shared" si="1"/>
        <v/>
      </c>
    </row>
    <row r="4" ht="15.75" customHeight="1">
      <c r="A4" s="19" t="str">
        <f>mid(D5,3,1)</f>
        <v/>
      </c>
      <c r="B4" s="20">
        <v>0.0</v>
      </c>
      <c r="C4" s="27">
        <f>B1*C1</f>
        <v>0</v>
      </c>
      <c r="D4" s="28">
        <f>B1*A1</f>
        <v>0</v>
      </c>
      <c r="E4" s="2">
        <f>C4*D4</f>
        <v>0</v>
      </c>
      <c r="F4" s="30" t="str">
        <f>F1</f>
        <v>0</v>
      </c>
      <c r="G4" s="30">
        <f>H1</f>
        <v>0</v>
      </c>
      <c r="H4" s="30">
        <f>G1</f>
        <v>0</v>
      </c>
      <c r="I4" s="31" t="str">
        <f t="shared" ref="I4:I5" si="2">mid(C5,2,1)</f>
        <v>3</v>
      </c>
      <c r="J4" s="31"/>
      <c r="K4" s="32">
        <f>mid(C5,1,1)-1</f>
        <v>7</v>
      </c>
      <c r="L4" s="32"/>
      <c r="M4" s="31" t="str">
        <f>mid(C6,1,1)</f>
        <v/>
      </c>
      <c r="N4" s="16"/>
      <c r="O4" s="33"/>
      <c r="P4" s="34"/>
      <c r="Q4" s="34"/>
    </row>
    <row r="5" ht="15.75" customHeight="1">
      <c r="B5" s="3"/>
      <c r="C5" s="27">
        <f>A1+C1</f>
        <v>83</v>
      </c>
      <c r="D5" s="28">
        <f>C1-B1</f>
        <v>0</v>
      </c>
      <c r="E5" s="3">
        <f>D5*C5</f>
        <v>0</v>
      </c>
      <c r="F5" s="38" t="str">
        <f>A1</f>
        <v>83</v>
      </c>
      <c r="G5" s="38" t="str">
        <f>C1</f>
        <v/>
      </c>
      <c r="H5" s="38">
        <f>B1-3</f>
        <v>-3</v>
      </c>
      <c r="I5" s="36" t="str">
        <f t="shared" si="2"/>
        <v/>
      </c>
      <c r="J5" s="36"/>
      <c r="K5" s="37">
        <f>mid(C6,2,1)-mid(C5,2,1)</f>
        <v>-3</v>
      </c>
      <c r="L5" s="37"/>
      <c r="M5" s="36">
        <f>mid(C5,1,1)+mid(C5, 2,1)</f>
        <v>11</v>
      </c>
      <c r="N5" s="16"/>
      <c r="O5" s="39"/>
      <c r="P5" s="4"/>
      <c r="Q5" s="4"/>
    </row>
    <row r="6" ht="15.75" customHeight="1">
      <c r="A6" s="40" t="str">
        <f>MID(C5,1,1)</f>
        <v>8</v>
      </c>
      <c r="B6" s="42" t="str">
        <f>MID(C5,2,1)</f>
        <v>3</v>
      </c>
      <c r="C6" s="43" t="str">
        <f>mid(D3,3,1)</f>
        <v/>
      </c>
      <c r="D6" s="43" t="str">
        <f>MID(D3,2,1)</f>
        <v/>
      </c>
      <c r="E6" s="44" t="s">
        <v>4</v>
      </c>
      <c r="F6" s="38">
        <f>CONCATENATE(MID(C3,1,1))-1</f>
        <v>-1</v>
      </c>
      <c r="G6" s="38" t="str">
        <f t="shared" ref="G6:H6" si="3">B1</f>
        <v/>
      </c>
      <c r="H6" s="38" t="str">
        <f t="shared" si="3"/>
        <v/>
      </c>
      <c r="I6" s="51" t="str">
        <f>MID(H7,2,1)</f>
        <v/>
      </c>
      <c r="J6" s="51" t="str">
        <f>I6</f>
        <v/>
      </c>
      <c r="K6" s="52">
        <f>MID(H7,1,1)+2</f>
        <v>2</v>
      </c>
      <c r="L6" s="52"/>
      <c r="M6" s="51">
        <f>H6-2</f>
        <v>-2</v>
      </c>
      <c r="N6" s="16"/>
      <c r="O6" s="23">
        <f>M7</f>
        <v>-2</v>
      </c>
      <c r="P6" s="23">
        <f>M7*K7</f>
        <v>-4</v>
      </c>
      <c r="Q6" s="23">
        <f>I7-M7</f>
        <v>2</v>
      </c>
      <c r="V6" s="2" t="s">
        <v>5</v>
      </c>
    </row>
    <row r="7" ht="15.75" customHeight="1">
      <c r="A7" s="40" t="str">
        <f>MID(C5,3,1)</f>
        <v/>
      </c>
      <c r="B7" s="41">
        <v>0.0</v>
      </c>
      <c r="C7" s="53" t="str">
        <f>mid(D3,1,1)</f>
        <v>0</v>
      </c>
      <c r="D7" s="53">
        <v>0.0</v>
      </c>
      <c r="E7" s="44" t="s">
        <v>6</v>
      </c>
      <c r="F7" s="38">
        <f>CONCATENATE(MID(C4,1,1))+1</f>
        <v>1</v>
      </c>
      <c r="G7" s="38">
        <f>CONCATENATE(MID(C3,2,1))*MID(D3,1,1)</f>
        <v>0</v>
      </c>
      <c r="H7" s="38">
        <f>CONCATENATE(MID(C3,2,1))*MID(C3,2,1)</f>
        <v>0</v>
      </c>
      <c r="I7" s="55" t="str">
        <f>H6</f>
        <v/>
      </c>
      <c r="J7" s="55">
        <f>mid(H6,1,1)-1</f>
        <v>-1</v>
      </c>
      <c r="K7" s="24">
        <f>mid(H7,1,1)+2</f>
        <v>2</v>
      </c>
      <c r="L7" s="24"/>
      <c r="M7" s="55">
        <f>mid(H7,2,1)-2 </f>
        <v>-2</v>
      </c>
      <c r="N7" s="16"/>
      <c r="O7" s="23" t="str">
        <f>IF(I7=5,8,I7)</f>
        <v/>
      </c>
      <c r="P7" s="23">
        <f>K7+1</f>
        <v>3</v>
      </c>
      <c r="Q7" s="23">
        <f>M7-1</f>
        <v>-3</v>
      </c>
      <c r="R7" s="56" t="s">
        <v>7</v>
      </c>
      <c r="T7" s="57"/>
      <c r="U7" s="57"/>
      <c r="AB7" s="2">
        <f>123*13</f>
        <v>1599</v>
      </c>
    </row>
    <row r="8" ht="41.25" customHeight="1">
      <c r="A8" s="2" t="s">
        <v>8</v>
      </c>
      <c r="C8" s="2">
        <f>2</f>
        <v>2</v>
      </c>
      <c r="D8" s="2">
        <f>C1+1</f>
        <v>1</v>
      </c>
      <c r="E8" s="3">
        <f>B1+1</f>
        <v>1</v>
      </c>
      <c r="F8" s="38">
        <f>B19</f>
        <v>1</v>
      </c>
      <c r="G8" s="38">
        <f>B21</f>
        <v>-3</v>
      </c>
      <c r="H8" s="38">
        <f>B20</f>
        <v>1</v>
      </c>
      <c r="I8" s="23">
        <f>Mid(H7,1,1)+1 </f>
        <v>1</v>
      </c>
      <c r="J8" s="23" t="str">
        <f>mid(H7,1,1)</f>
        <v>0</v>
      </c>
      <c r="K8" s="60">
        <f>MID(H7,2,1)+2</f>
        <v>2</v>
      </c>
      <c r="L8" s="60"/>
      <c r="M8" s="23" t="str">
        <f>H6</f>
        <v/>
      </c>
      <c r="N8" s="16"/>
      <c r="O8" s="62">
        <f>P7/2</f>
        <v>1.5</v>
      </c>
      <c r="P8" s="23">
        <f>O7-Q7</f>
        <v>3</v>
      </c>
      <c r="Q8" s="23">
        <f>P8-Q7</f>
        <v>6</v>
      </c>
      <c r="T8" s="57"/>
      <c r="U8" s="57"/>
      <c r="AB8" s="2">
        <v>25.0</v>
      </c>
      <c r="AC8" s="2">
        <v>26.0</v>
      </c>
    </row>
    <row r="9" ht="15.75" customHeight="1">
      <c r="A9" s="11" t="s">
        <v>10</v>
      </c>
      <c r="B9" s="2" t="s">
        <v>11</v>
      </c>
      <c r="C9" s="63">
        <f t="shared" ref="C9:D9" si="4">A1*B1</f>
        <v>0</v>
      </c>
      <c r="D9" s="64">
        <f t="shared" si="4"/>
        <v>0</v>
      </c>
      <c r="E9" s="65" t="str">
        <f t="shared" ref="E9:E10" si="5">CONCATENATE(left(E2,3), right(E3,2))</f>
        <v>6880</v>
      </c>
      <c r="F9" s="66">
        <f>F8+H8</f>
        <v>2</v>
      </c>
      <c r="G9" s="66" t="str">
        <f>CONCATENATE(MID(E47,2,1))</f>
        <v/>
      </c>
      <c r="H9" s="67" t="str">
        <f>CONCATENATE(MID(E47,3,1))</f>
        <v/>
      </c>
      <c r="I9" s="68">
        <f>MID(H7,1,1)+2</f>
        <v>2</v>
      </c>
      <c r="J9" s="68"/>
      <c r="K9" s="69">
        <f>MID(H7, 2,1)-1</f>
        <v>-1</v>
      </c>
      <c r="L9" s="69"/>
      <c r="M9" s="68" t="str">
        <f>H6</f>
        <v/>
      </c>
      <c r="N9" s="16"/>
      <c r="O9" s="70">
        <f>I9*2</f>
        <v>4</v>
      </c>
      <c r="P9" s="55">
        <f>O9-K9</f>
        <v>5</v>
      </c>
      <c r="Q9" s="55">
        <f>P9+M9</f>
        <v>5</v>
      </c>
      <c r="T9" s="57"/>
      <c r="U9" s="57"/>
      <c r="AB9" s="2">
        <v>123.0</v>
      </c>
      <c r="AC9" s="2">
        <v>33.0</v>
      </c>
    </row>
    <row r="10" ht="15.75" customHeight="1">
      <c r="A10" s="2" t="str">
        <f>CONCAT(LEFT(E9,1),RIGHT(E9,1))</f>
        <v>60</v>
      </c>
      <c r="B10" s="38" t="str">
        <f>RIGHT(E9,3)</f>
        <v>880</v>
      </c>
      <c r="C10" s="73">
        <f>B1+C1</f>
        <v>0</v>
      </c>
      <c r="D10" s="73">
        <f>C10*A1</f>
        <v>0</v>
      </c>
      <c r="E10" s="65" t="str">
        <f t="shared" si="5"/>
        <v>00</v>
      </c>
      <c r="F10" s="74">
        <f>F8+G8</f>
        <v>-2</v>
      </c>
      <c r="G10" s="74"/>
      <c r="H10" s="74"/>
      <c r="I10" s="75" t="str">
        <f>MID(H7,2,1)</f>
        <v/>
      </c>
      <c r="J10" s="75"/>
      <c r="K10" s="76">
        <f>MID(H7,1,1)-1</f>
        <v>-1</v>
      </c>
      <c r="L10" s="4"/>
      <c r="M10" s="23">
        <f>G7-1</f>
        <v>-1</v>
      </c>
      <c r="N10" s="16"/>
      <c r="O10" s="62">
        <f t="shared" ref="O10:P10" si="6">O7+2</f>
        <v>2</v>
      </c>
      <c r="P10" s="23">
        <f t="shared" si="6"/>
        <v>5</v>
      </c>
      <c r="Q10" s="23">
        <f>O8</f>
        <v>1.5</v>
      </c>
      <c r="T10" s="57"/>
      <c r="U10" s="11"/>
      <c r="Z10" s="2">
        <f t="shared" ref="Z10:Z11" si="8">AB8+AC8</f>
        <v>51</v>
      </c>
      <c r="AA10" s="2">
        <f>Z10*30</f>
        <v>1530</v>
      </c>
    </row>
    <row r="11" ht="15.75" customHeight="1">
      <c r="A11" s="2" t="str">
        <f>concat(MID(C4,2,1),RIGHT(C4,1))</f>
        <v>0</v>
      </c>
      <c r="B11" s="38">
        <f>C5</f>
        <v>83</v>
      </c>
      <c r="C11" s="63">
        <f>A1*B1</f>
        <v>0</v>
      </c>
      <c r="D11" s="73">
        <f>B1+C1</f>
        <v>0</v>
      </c>
      <c r="E11" s="77"/>
      <c r="F11" s="74">
        <f>G8+H8</f>
        <v>-2</v>
      </c>
      <c r="G11" s="74"/>
      <c r="H11" s="74"/>
      <c r="I11" s="75">
        <f>MID(H7,1,1)*2</f>
        <v>0</v>
      </c>
      <c r="J11" s="75">
        <f t="shared" ref="J11:J13" si="9">I11-1</f>
        <v>-1</v>
      </c>
      <c r="K11" s="76">
        <f>mid(H7,2,1)/3</f>
        <v>0</v>
      </c>
      <c r="L11" s="4"/>
      <c r="M11" s="14">
        <f>MID(H7,2,1)-H6</f>
        <v>0</v>
      </c>
      <c r="N11" s="16"/>
      <c r="O11" s="62">
        <f t="shared" ref="O11:Q11" si="7">O10-1</f>
        <v>1</v>
      </c>
      <c r="P11" s="23">
        <f t="shared" si="7"/>
        <v>4</v>
      </c>
      <c r="Q11" s="23">
        <f t="shared" si="7"/>
        <v>0.5</v>
      </c>
      <c r="T11" s="57"/>
      <c r="U11" s="11"/>
      <c r="Z11" s="2">
        <f t="shared" si="8"/>
        <v>156</v>
      </c>
      <c r="AA11" s="2">
        <f>Z11*13</f>
        <v>2028</v>
      </c>
    </row>
    <row r="12" ht="15.75" customHeight="1">
      <c r="C12" s="31" t="str">
        <f>C1</f>
        <v/>
      </c>
      <c r="D12" s="31">
        <f>B1-1</f>
        <v>-1</v>
      </c>
      <c r="E12" s="79" t="str">
        <f>A1</f>
        <v>83</v>
      </c>
      <c r="F12" s="4"/>
      <c r="G12" s="4"/>
      <c r="H12" s="4"/>
      <c r="I12" s="75" t="str">
        <f>mid(C5,2,1)</f>
        <v>3</v>
      </c>
      <c r="J12" s="75">
        <f t="shared" si="9"/>
        <v>2</v>
      </c>
      <c r="K12" s="80">
        <f>mid(C6,1,1)-C7</f>
        <v>0</v>
      </c>
      <c r="L12" s="81"/>
      <c r="M12" s="14" t="str">
        <f>mid(C6,1,1)</f>
        <v/>
      </c>
      <c r="N12" s="16"/>
      <c r="O12" s="62">
        <f t="shared" ref="O12:P12" si="10">O11-1</f>
        <v>0</v>
      </c>
      <c r="P12" s="23">
        <f t="shared" si="10"/>
        <v>3</v>
      </c>
      <c r="Q12" s="23">
        <f>Q11+1</f>
        <v>1.5</v>
      </c>
      <c r="T12" s="57"/>
      <c r="U12" s="11"/>
      <c r="Z12" s="38"/>
    </row>
    <row r="13" ht="15.75" customHeight="1">
      <c r="A13" s="11" t="s">
        <v>17</v>
      </c>
      <c r="C13" s="83">
        <f>D8-1</f>
        <v>0</v>
      </c>
      <c r="D13" s="83">
        <f>D8+C8</f>
        <v>3</v>
      </c>
      <c r="E13" s="84">
        <f>E8</f>
        <v>1</v>
      </c>
      <c r="F13" s="4"/>
      <c r="G13" s="4"/>
      <c r="H13" s="4"/>
      <c r="I13" s="47" t="str">
        <f>mid(C5,1,1)</f>
        <v>8</v>
      </c>
      <c r="J13" s="75">
        <f t="shared" si="9"/>
        <v>7</v>
      </c>
      <c r="K13" s="76" t="str">
        <f>mid(D6,1,1)</f>
        <v/>
      </c>
      <c r="L13" s="48"/>
      <c r="M13" s="86" t="str">
        <f>mid(D6,2,1)</f>
        <v/>
      </c>
      <c r="N13" s="16"/>
      <c r="O13" s="87">
        <f>I7-2</f>
        <v>-2</v>
      </c>
      <c r="P13" s="88">
        <f>K7</f>
        <v>2</v>
      </c>
      <c r="Q13" s="88">
        <f>M7*2</f>
        <v>-4</v>
      </c>
      <c r="T13" s="11"/>
      <c r="U13" s="11"/>
      <c r="Z13" s="2">
        <f>5150</f>
        <v>5150</v>
      </c>
    </row>
    <row r="14" ht="15.75" customHeight="1">
      <c r="A14" s="2" t="str">
        <f>RIGHT(E10,2)</f>
        <v>00</v>
      </c>
      <c r="C14" s="90">
        <f>D12</f>
        <v>-1</v>
      </c>
      <c r="D14" s="90">
        <f>D12+E12</f>
        <v>82</v>
      </c>
      <c r="E14" s="91">
        <f>E13-1</f>
        <v>0</v>
      </c>
      <c r="F14" s="92"/>
      <c r="G14" s="92"/>
      <c r="H14" s="92"/>
      <c r="I14" s="4">
        <f>mid(D3,1,1)+mid(D3, 2,1)</f>
        <v>0</v>
      </c>
      <c r="J14" s="4"/>
      <c r="K14" s="76" t="str">
        <f>mid(C3,2,1)</f>
        <v/>
      </c>
      <c r="L14" s="48"/>
      <c r="M14" s="93" t="str">
        <f>mid(C5,1,1)</f>
        <v>8</v>
      </c>
      <c r="N14" s="16"/>
      <c r="O14" s="94">
        <f>MID(H7,1,1)+1</f>
        <v>1</v>
      </c>
      <c r="P14" s="95">
        <f>MID(H7,2,1)+1</f>
        <v>1</v>
      </c>
      <c r="Q14" s="34">
        <f>P14+H6</f>
        <v>1</v>
      </c>
      <c r="Z14" s="2">
        <f>Z13-SUM(AA10:AA11)</f>
        <v>1592</v>
      </c>
    </row>
    <row r="15" ht="15.75" customHeight="1">
      <c r="A15" s="2" t="str">
        <f>right(B10,2)</f>
        <v>80</v>
      </c>
      <c r="C15" s="96"/>
      <c r="D15" s="97"/>
      <c r="F15" s="47" t="str">
        <f>MID(C5,1,1)</f>
        <v>8</v>
      </c>
      <c r="G15" s="47">
        <f>MID(C3,2,1)-mid(D3,1,1)</f>
        <v>0</v>
      </c>
      <c r="H15" s="47" t="str">
        <f>MID(D3,2,1)</f>
        <v/>
      </c>
      <c r="I15" s="4" t="str">
        <f>mid(G7,2,1)</f>
        <v/>
      </c>
      <c r="J15" s="4"/>
      <c r="K15" s="48">
        <f>MID(G7,1,1)-1</f>
        <v>-1</v>
      </c>
      <c r="L15" s="48"/>
      <c r="M15" s="93" t="str">
        <f>mid(C3,1,1)</f>
        <v>0</v>
      </c>
      <c r="N15" s="98"/>
      <c r="O15" s="94" t="str">
        <f>MID(M10,1,1)</f>
        <v>-</v>
      </c>
      <c r="P15" s="99">
        <f>MID(M10,2,1)+3</f>
        <v>4</v>
      </c>
      <c r="Q15" s="99">
        <f>M11*3</f>
        <v>0</v>
      </c>
    </row>
    <row r="16" ht="24.75" customHeight="1">
      <c r="A16" s="120">
        <f>A14+1</f>
        <v>1</v>
      </c>
      <c r="C16" s="19" t="str">
        <f>E12</f>
        <v>83</v>
      </c>
      <c r="D16" s="19">
        <f>D12</f>
        <v>-1</v>
      </c>
      <c r="E16" s="20">
        <f>D13+1</f>
        <v>4</v>
      </c>
      <c r="F16" s="101" t="str">
        <f>MID(I16,1,1)</f>
        <v/>
      </c>
      <c r="G16" s="101" t="str">
        <f>MID(I16,2,1)</f>
        <v/>
      </c>
      <c r="H16" s="101" t="str">
        <f>MID(I16,3,1)</f>
        <v/>
      </c>
      <c r="I16" s="4" t="str">
        <f>MID(G7,2,1)</f>
        <v/>
      </c>
      <c r="J16" s="4"/>
      <c r="K16" s="102">
        <f>MID(G7,1,1)-1</f>
        <v>-1</v>
      </c>
      <c r="L16" s="102"/>
      <c r="M16" s="62" t="str">
        <f>G6</f>
        <v/>
      </c>
      <c r="N16" s="16"/>
      <c r="O16" s="103">
        <f>P11</f>
        <v>4</v>
      </c>
      <c r="P16" s="104">
        <f>if(P10=8,5,P10)</f>
        <v>5</v>
      </c>
      <c r="Q16" s="104">
        <f>P12</f>
        <v>3</v>
      </c>
    </row>
    <row r="17" ht="15.75" customHeight="1">
      <c r="C17" s="105" t="str">
        <f>C16</f>
        <v>83</v>
      </c>
      <c r="D17" s="105">
        <f>C16-D16</f>
        <v>84</v>
      </c>
      <c r="E17" s="106">
        <f>E16</f>
        <v>4</v>
      </c>
      <c r="F17" s="107">
        <f>MID(C3,1,1)+1</f>
        <v>1</v>
      </c>
      <c r="G17" s="74">
        <f>mid(C3,2,1) + mid(D3,1,1)</f>
        <v>0</v>
      </c>
      <c r="H17" s="74">
        <f>mid(D3,2,1)-1</f>
        <v>-1</v>
      </c>
      <c r="I17" s="109" t="str">
        <f>mid(D5,3,1)</f>
        <v/>
      </c>
      <c r="J17" s="109"/>
      <c r="M17" s="62" t="str">
        <f>mid(D6,2,1)</f>
        <v/>
      </c>
      <c r="N17" s="110"/>
      <c r="O17" s="111"/>
      <c r="P17" s="112"/>
      <c r="Q17" s="112"/>
    </row>
    <row r="18" ht="21.0" customHeight="1">
      <c r="A18" s="11" t="s">
        <v>21</v>
      </c>
      <c r="B18" s="129">
        <f>H5</f>
        <v>-3</v>
      </c>
      <c r="C18" s="129" t="str">
        <f>G6</f>
        <v/>
      </c>
      <c r="D18" s="129">
        <f>F7</f>
        <v>1</v>
      </c>
      <c r="E18" s="22"/>
      <c r="F18" s="113"/>
      <c r="G18" s="113"/>
      <c r="H18" s="114"/>
      <c r="I18" s="30">
        <f>I16/2</f>
        <v>0</v>
      </c>
      <c r="J18" s="30"/>
      <c r="K18" s="30">
        <f>K10</f>
        <v>-1</v>
      </c>
      <c r="L18" s="30"/>
      <c r="M18" s="115">
        <f>M16+1</f>
        <v>1</v>
      </c>
      <c r="N18" s="16"/>
      <c r="O18" s="16"/>
    </row>
    <row r="19" ht="15.75" customHeight="1">
      <c r="B19" s="129">
        <f>F7</f>
        <v>1</v>
      </c>
      <c r="C19" s="129" t="str">
        <f>G6</f>
        <v/>
      </c>
      <c r="D19" s="129">
        <f>H5</f>
        <v>-3</v>
      </c>
      <c r="E19" s="22"/>
      <c r="F19" s="116"/>
      <c r="G19" s="116"/>
      <c r="H19" s="117"/>
      <c r="I19" s="3">
        <f>I9</f>
        <v>2</v>
      </c>
      <c r="J19" s="3"/>
      <c r="K19" s="118" t="str">
        <f>I10</f>
        <v/>
      </c>
      <c r="L19" s="118"/>
      <c r="M19" s="16">
        <f>I11-1</f>
        <v>-1</v>
      </c>
      <c r="N19" s="119"/>
      <c r="O19" s="119" t="s">
        <v>18</v>
      </c>
      <c r="P19" s="2" t="str">
        <f>CONCATENATE(P14,O14,O15)</f>
        <v>11-</v>
      </c>
      <c r="S19" s="2" t="s">
        <v>26</v>
      </c>
      <c r="T19" s="122"/>
    </row>
    <row r="20" ht="15.75" customHeight="1">
      <c r="B20" s="38">
        <f>F7</f>
        <v>1</v>
      </c>
      <c r="C20" s="38">
        <f>H5</f>
        <v>-3</v>
      </c>
      <c r="D20" s="38" t="str">
        <f>G6</f>
        <v/>
      </c>
      <c r="F20" s="116">
        <f>G17</f>
        <v>0</v>
      </c>
      <c r="G20" s="116">
        <f>F17</f>
        <v>1</v>
      </c>
      <c r="H20" s="117">
        <f>H17</f>
        <v>-1</v>
      </c>
      <c r="I20" s="3">
        <f>MID(H7,1,1)+MID(H7,2,1)</f>
        <v>0</v>
      </c>
      <c r="J20" s="3"/>
      <c r="K20" s="3"/>
      <c r="L20" s="3"/>
      <c r="M20" s="16" t="str">
        <f>H6</f>
        <v/>
      </c>
      <c r="N20" s="119"/>
      <c r="O20" s="119" t="s">
        <v>19</v>
      </c>
      <c r="P20" s="2" t="str">
        <f>CONCATENATE(data!N17,data!N16,data!O16)</f>
        <v>4-4</v>
      </c>
      <c r="Q20" s="2" t="str">
        <f>CONCATENATE(O14,O15+1,O16)</f>
        <v>#VALUE!</v>
      </c>
      <c r="S20" s="2" t="str">
        <f>RIGHT(P20,2)</f>
        <v>-4</v>
      </c>
    </row>
    <row r="21" ht="15.75" customHeight="1">
      <c r="A21" s="22"/>
      <c r="B21" s="129">
        <f>H5</f>
        <v>-3</v>
      </c>
      <c r="C21" s="129">
        <f>F7</f>
        <v>1</v>
      </c>
      <c r="D21" s="129" t="str">
        <f>G6</f>
        <v/>
      </c>
      <c r="E21" s="22"/>
      <c r="F21" s="116" t="str">
        <f>I5</f>
        <v/>
      </c>
      <c r="G21" s="116">
        <f>K5+1</f>
        <v>-2</v>
      </c>
      <c r="H21" s="124">
        <f>M5-1</f>
        <v>10</v>
      </c>
      <c r="I21" s="3"/>
      <c r="J21" s="3"/>
      <c r="K21" s="3"/>
      <c r="L21" s="3"/>
      <c r="M21" s="16"/>
      <c r="N21" s="119"/>
      <c r="O21" s="119" t="s">
        <v>19</v>
      </c>
      <c r="P21" s="2" t="str">
        <f>concatenate(I12-1, I13,  I14)</f>
        <v>280</v>
      </c>
    </row>
    <row r="22" ht="15.75" customHeight="1">
      <c r="B22" s="38"/>
      <c r="C22" s="38">
        <f>B21-C21</f>
        <v>-4</v>
      </c>
      <c r="D22" s="38" t="str">
        <f>D21</f>
        <v/>
      </c>
      <c r="E22" s="2" t="str">
        <f>CONCATENATE(G17,F20,G25)</f>
        <v>00-1</v>
      </c>
      <c r="F22" s="116">
        <f>I4-1</f>
        <v>2</v>
      </c>
      <c r="G22" s="116">
        <f>K4-1</f>
        <v>6</v>
      </c>
      <c r="H22" s="116" t="str">
        <f>M4</f>
        <v/>
      </c>
      <c r="I22" s="125"/>
      <c r="J22" s="125"/>
      <c r="K22" s="3"/>
      <c r="L22" s="3"/>
      <c r="M22" s="119"/>
      <c r="N22" s="119"/>
      <c r="O22" s="119" t="s">
        <v>19</v>
      </c>
      <c r="P22" s="2">
        <f>M18</f>
        <v>1</v>
      </c>
    </row>
    <row r="23" ht="15.75" customHeight="1">
      <c r="A23" s="2" t="s">
        <v>33</v>
      </c>
      <c r="B23" s="38"/>
      <c r="C23" s="38" t="str">
        <f>B6</f>
        <v>3</v>
      </c>
      <c r="D23" s="38" t="str">
        <f>A6</f>
        <v>8</v>
      </c>
      <c r="G23" s="130">
        <f>K1-1</f>
        <v>-1</v>
      </c>
      <c r="H23" s="123">
        <f>H22/F25</f>
        <v>0</v>
      </c>
      <c r="I23" s="131"/>
      <c r="J23" s="131"/>
      <c r="K23" s="129"/>
      <c r="L23" s="129"/>
      <c r="M23" s="119"/>
      <c r="N23" s="119"/>
      <c r="O23" s="119"/>
      <c r="P23" s="2" t="str">
        <f>CONCATENATE(Q16-P16,P16,O17)</f>
        <v>-25</v>
      </c>
    </row>
    <row r="24" ht="15.75" customHeight="1">
      <c r="A24" s="2">
        <f>8*8</f>
        <v>64</v>
      </c>
      <c r="B24" s="155"/>
      <c r="C24" s="157">
        <f>F26</f>
        <v>7</v>
      </c>
      <c r="D24" s="132">
        <f>H26</f>
        <v>6</v>
      </c>
      <c r="E24" s="133" t="str">
        <f>CONCAT(H31,H30)</f>
        <v>12</v>
      </c>
      <c r="F24" s="116">
        <f>I5+1</f>
        <v>1</v>
      </c>
      <c r="G24" s="116">
        <f>F24+K5</f>
        <v>-2</v>
      </c>
      <c r="H24" s="116">
        <f>K5+M5</f>
        <v>8</v>
      </c>
      <c r="I24" s="125" t="s">
        <v>24</v>
      </c>
      <c r="J24" s="125"/>
      <c r="K24" s="134" t="str">
        <f>CONCATENATE(mid(I34,1,1),mid(I34,2,1),mid(I34,3,1)-2)  </f>
        <v>#VALUE!</v>
      </c>
      <c r="L24" s="134"/>
      <c r="M24" s="119"/>
      <c r="N24" s="119"/>
      <c r="O24" s="119"/>
      <c r="P24" s="2"/>
    </row>
    <row r="25" ht="15.75" customHeight="1">
      <c r="C25" s="38" t="str">
        <f t="shared" ref="C25:D25" si="11">A6</f>
        <v>8</v>
      </c>
      <c r="D25" s="38" t="str">
        <f t="shared" si="11"/>
        <v>3</v>
      </c>
      <c r="E25" s="133"/>
      <c r="F25" s="130">
        <f>F22-D36</f>
        <v>2</v>
      </c>
      <c r="G25" s="116">
        <f>K9</f>
        <v>-1</v>
      </c>
      <c r="H25" s="137">
        <f>0</f>
        <v>0</v>
      </c>
      <c r="I25" s="125"/>
      <c r="J25" s="125"/>
      <c r="K25" s="138" t="str">
        <f>CONCATENATE(mid(I34,1,1),mid(I34,2,1),mid(I34,3,1)/2)  </f>
        <v>#VALUE!</v>
      </c>
      <c r="L25" s="138"/>
    </row>
    <row r="26" ht="15.75" customHeight="1">
      <c r="D26" s="38">
        <f>A28</f>
        <v>10</v>
      </c>
      <c r="E26" s="139"/>
      <c r="F26" s="116">
        <f>H24-1</f>
        <v>7</v>
      </c>
      <c r="G26" s="116">
        <f>G24</f>
        <v>-2</v>
      </c>
      <c r="H26" s="116">
        <f>H24+G24</f>
        <v>6</v>
      </c>
      <c r="I26" s="125" t="s">
        <v>27</v>
      </c>
      <c r="J26" s="125"/>
      <c r="Y26" s="2">
        <f>SQRTPI(V26)</f>
        <v>0</v>
      </c>
    </row>
    <row r="27" ht="15.75" customHeight="1">
      <c r="A27" s="2">
        <f t="shared" ref="A27:A28" si="12">H20</f>
        <v>-1</v>
      </c>
      <c r="D27" s="168"/>
      <c r="E27" s="168" t="s">
        <v>40</v>
      </c>
      <c r="F27" s="140">
        <f>0</f>
        <v>0</v>
      </c>
      <c r="G27" s="140">
        <f>G26</f>
        <v>-2</v>
      </c>
      <c r="H27" s="141">
        <f>F26-1</f>
        <v>6</v>
      </c>
      <c r="I27" s="28" t="s">
        <v>29</v>
      </c>
      <c r="J27" s="28"/>
      <c r="K27" s="142" t="str">
        <f>CONCATENATE(A1+1,B1+1,C1+1)</f>
        <v>8411</v>
      </c>
      <c r="L27" s="142"/>
      <c r="M27" s="143" t="str">
        <f>Concatenate(MID(K27,4,1)-MID(K27,3,1),MID(K27,2,1),MID(K27,1,1))</f>
        <v>048</v>
      </c>
      <c r="N27" s="38"/>
      <c r="O27" s="38"/>
      <c r="P27" s="2"/>
      <c r="S27" s="144"/>
    </row>
    <row r="28" ht="15.75" customHeight="1">
      <c r="A28" s="11">
        <f t="shared" si="12"/>
        <v>10</v>
      </c>
      <c r="B28" s="176" t="str">
        <f>RIGHT(E2,1)</f>
        <v>9</v>
      </c>
      <c r="C28" s="126"/>
      <c r="D28" s="168">
        <f>SUM(left(E28,1)+RIGHT(E28))</f>
        <v>0</v>
      </c>
      <c r="E28" s="168" t="str">
        <f>LEFT(E3,2)</f>
        <v>0</v>
      </c>
      <c r="F28" s="146" t="str">
        <f>F21</f>
        <v/>
      </c>
      <c r="H28" s="146">
        <f>G21</f>
        <v>-2</v>
      </c>
      <c r="I28" s="147"/>
      <c r="J28" s="148"/>
      <c r="K28" s="125" t="s">
        <v>46</v>
      </c>
      <c r="L28" s="125"/>
      <c r="M28" s="149"/>
      <c r="N28" s="150"/>
      <c r="O28" s="38"/>
      <c r="U28" s="151"/>
      <c r="V28" s="151"/>
      <c r="W28" s="151"/>
      <c r="X28" s="151"/>
    </row>
    <row r="29" ht="15.75" customHeight="1">
      <c r="A29" s="11">
        <f>H24</f>
        <v>8</v>
      </c>
      <c r="B29" s="176">
        <f>F26</f>
        <v>7</v>
      </c>
      <c r="C29" s="126"/>
      <c r="D29" s="168"/>
      <c r="E29" s="168" t="str">
        <f>Concatenate(LEFT(E2),RIGHT(E2))</f>
        <v>69</v>
      </c>
      <c r="F29" s="146" t="str">
        <f>#REF!-B1</f>
        <v>#REF!</v>
      </c>
      <c r="G29" s="146" t="str">
        <f>F29+1</f>
        <v>#REF!</v>
      </c>
      <c r="H29" s="146" t="str">
        <f>D29</f>
        <v/>
      </c>
      <c r="I29" s="3"/>
      <c r="J29" s="3"/>
      <c r="K29" s="154"/>
      <c r="L29" s="154"/>
      <c r="M29" s="38"/>
      <c r="N29" s="38"/>
      <c r="O29" s="38"/>
      <c r="X29" s="151"/>
      <c r="Y29" s="151"/>
    </row>
    <row r="30" ht="36.0" customHeight="1">
      <c r="A30" s="186">
        <f>H27</f>
        <v>6</v>
      </c>
      <c r="B30" s="176"/>
      <c r="C30" s="126"/>
      <c r="D30" s="168"/>
      <c r="E30" s="168" t="str">
        <f>right(E9,2)</f>
        <v>80</v>
      </c>
      <c r="F30" s="146" t="str">
        <f>#REF!</f>
        <v>#REF!</v>
      </c>
      <c r="G30" s="146">
        <f>G25-1</f>
        <v>-2</v>
      </c>
      <c r="H30" s="146">
        <f>H25+2</f>
        <v>2</v>
      </c>
      <c r="I30" s="44" t="s">
        <v>35</v>
      </c>
      <c r="J30" s="44"/>
      <c r="K30" s="156" t="str">
        <f>CONCATENATE(mid(I34,1,1),mid(I34,2,1),mid(I34,3,1)+2)  </f>
        <v>#VALUE!</v>
      </c>
      <c r="L30" s="156"/>
      <c r="M30" s="38"/>
      <c r="N30" s="38"/>
      <c r="O30" s="38"/>
      <c r="X30" s="151"/>
    </row>
    <row r="31" ht="15.75" customHeight="1">
      <c r="A31" s="192" t="str">
        <f>LEFT(A14,1)</f>
        <v>0</v>
      </c>
      <c r="B31" s="126"/>
      <c r="C31" s="126"/>
      <c r="D31" s="168"/>
      <c r="E31" s="168"/>
      <c r="F31" s="158">
        <f>C28+2</f>
        <v>2</v>
      </c>
      <c r="G31" s="158">
        <f>D26+2</f>
        <v>12</v>
      </c>
      <c r="H31" s="146">
        <f>E26+1</f>
        <v>1</v>
      </c>
      <c r="I31" s="3"/>
      <c r="J31" s="3"/>
      <c r="K31" s="134" t="str">
        <f>CONCATENATE(mid(I34,3,1)+2,mid(I34,2,1),mid(I34,1,1))  </f>
        <v>#VALUE!</v>
      </c>
      <c r="L31" s="134"/>
      <c r="M31" s="159"/>
      <c r="N31" s="38"/>
      <c r="O31" s="38"/>
      <c r="S31" s="11"/>
      <c r="U31" s="151"/>
      <c r="V31" s="151"/>
      <c r="W31" s="151"/>
      <c r="X31" s="151"/>
    </row>
    <row r="32" ht="15.75" customHeight="1">
      <c r="A32" s="2">
        <f>H1</f>
        <v>0</v>
      </c>
      <c r="C32" s="160"/>
      <c r="D32" s="168"/>
      <c r="E32" s="168"/>
      <c r="F32" s="163">
        <f>O9-1</f>
        <v>3</v>
      </c>
      <c r="G32" s="163">
        <f>F32+1</f>
        <v>4</v>
      </c>
      <c r="H32" s="163">
        <f>Q9</f>
        <v>5</v>
      </c>
      <c r="I32" s="3"/>
      <c r="J32" s="3"/>
      <c r="K32" s="161"/>
      <c r="L32" s="161"/>
      <c r="M32" s="146"/>
      <c r="N32" s="146" t="str">
        <f>U9</f>
        <v/>
      </c>
      <c r="O32" s="38"/>
      <c r="X32" s="151"/>
      <c r="Y32" s="151"/>
    </row>
    <row r="33" ht="15.75" customHeight="1">
      <c r="C33" s="160"/>
      <c r="D33" s="168"/>
      <c r="E33" s="168"/>
      <c r="F33" s="167">
        <f>F22-1</f>
        <v>1</v>
      </c>
      <c r="G33" s="167">
        <f t="shared" ref="G33:H33" si="13">G22</f>
        <v>6</v>
      </c>
      <c r="H33" s="167" t="str">
        <f t="shared" si="13"/>
        <v/>
      </c>
      <c r="I33" s="44" t="str">
        <f t="shared" ref="I33:I35" si="14">CONCATENATE(F33,G33,H33)</f>
        <v>16</v>
      </c>
      <c r="J33" s="44"/>
      <c r="K33" s="164" t="s">
        <v>37</v>
      </c>
      <c r="L33" s="164"/>
      <c r="M33" s="38"/>
      <c r="N33" s="38"/>
      <c r="O33" s="38"/>
      <c r="X33" s="151"/>
    </row>
    <row r="34" ht="15.75" customHeight="1">
      <c r="A34" s="2" t="s">
        <v>49</v>
      </c>
      <c r="B34" s="160" t="str">
        <f>LEFT(A10,1)</f>
        <v>6</v>
      </c>
      <c r="C34" s="165"/>
      <c r="D34" s="168"/>
      <c r="E34" s="168"/>
      <c r="F34" s="14">
        <f>G22</f>
        <v>6</v>
      </c>
      <c r="G34" s="14">
        <f>F27</f>
        <v>0</v>
      </c>
      <c r="H34" s="14">
        <f>G23</f>
        <v>-1</v>
      </c>
      <c r="I34" s="125" t="str">
        <f t="shared" si="14"/>
        <v>60-1</v>
      </c>
      <c r="J34" s="125"/>
      <c r="K34" s="169" t="s">
        <v>41</v>
      </c>
      <c r="L34" s="169"/>
      <c r="M34" s="38"/>
      <c r="N34" s="38"/>
      <c r="O34" s="38"/>
      <c r="U34" s="151"/>
      <c r="V34" s="151"/>
      <c r="W34" s="151"/>
      <c r="X34" s="151"/>
    </row>
    <row r="35" ht="15.75" customHeight="1">
      <c r="B35" s="160">
        <f>A30</f>
        <v>6</v>
      </c>
      <c r="C35" s="170"/>
      <c r="D35" s="168"/>
      <c r="E35" s="168"/>
      <c r="F35" s="171"/>
      <c r="G35" s="171"/>
      <c r="H35" s="171"/>
      <c r="I35" s="125" t="str">
        <f t="shared" si="14"/>
        <v/>
      </c>
      <c r="J35" s="125"/>
      <c r="K35" s="172" t="s">
        <v>42</v>
      </c>
      <c r="L35" s="164"/>
      <c r="M35" s="38"/>
      <c r="N35" s="38"/>
      <c r="O35" s="38"/>
      <c r="P35" s="2">
        <v>813.0</v>
      </c>
      <c r="W35" s="155"/>
      <c r="X35" s="155"/>
    </row>
    <row r="36" ht="15.75" customHeight="1">
      <c r="B36" s="170"/>
      <c r="C36" s="170"/>
      <c r="D36" s="170"/>
      <c r="E36" s="168"/>
      <c r="F36" s="146">
        <f>2</f>
        <v>2</v>
      </c>
      <c r="G36" s="146">
        <f t="shared" ref="G36:H36" si="15">F24+1</f>
        <v>2</v>
      </c>
      <c r="H36" s="146">
        <f t="shared" si="15"/>
        <v>-1</v>
      </c>
      <c r="I36" s="174"/>
      <c r="J36" s="174"/>
      <c r="K36" s="175" t="s">
        <v>44</v>
      </c>
      <c r="L36" s="175"/>
      <c r="M36" s="38"/>
      <c r="N36" s="132"/>
      <c r="O36" s="132"/>
      <c r="P36" s="2">
        <v>904.0</v>
      </c>
      <c r="S36" s="144"/>
    </row>
    <row r="37" ht="15.75" customHeight="1">
      <c r="B37" s="170"/>
      <c r="C37" s="170"/>
      <c r="D37" s="170"/>
      <c r="E37" s="168"/>
      <c r="F37" s="31" t="str">
        <f>E25</f>
        <v/>
      </c>
      <c r="G37" s="177" t="str">
        <f>E24</f>
        <v>12</v>
      </c>
      <c r="H37" s="177" t="str">
        <f>E23</f>
        <v/>
      </c>
      <c r="I37" s="178" t="str">
        <f t="shared" ref="I37:I38" si="16">CONCATENATE(F37,G37,H37)</f>
        <v>12</v>
      </c>
      <c r="J37" s="178"/>
      <c r="K37" s="179" t="s">
        <v>45</v>
      </c>
      <c r="L37" s="179"/>
      <c r="M37" s="180"/>
      <c r="N37" s="181"/>
      <c r="O37" s="181"/>
      <c r="W37" s="11"/>
    </row>
    <row r="38" ht="15.75" customHeight="1">
      <c r="A38" s="38" t="str">
        <f>'Copy of Copy of data'!A6</f>
        <v>8</v>
      </c>
      <c r="B38" s="165" t="str">
        <f>'Copy of Copy of data'!B6</f>
        <v>3</v>
      </c>
      <c r="C38" s="202" t="str">
        <f>'Copy of Copy of data'!B3</f>
        <v/>
      </c>
      <c r="D38" s="168"/>
      <c r="E38" s="168"/>
      <c r="F38" s="146" t="str">
        <f>H37</f>
        <v/>
      </c>
      <c r="G38" s="183" t="str">
        <f>G37</f>
        <v>12</v>
      </c>
      <c r="H38" s="183" t="str">
        <f>F37</f>
        <v/>
      </c>
      <c r="I38" s="3" t="str">
        <f t="shared" si="16"/>
        <v>12</v>
      </c>
      <c r="J38" s="3"/>
      <c r="K38" s="184"/>
      <c r="L38" s="184"/>
      <c r="M38" s="180"/>
      <c r="N38" s="180"/>
      <c r="O38" s="180"/>
      <c r="P38" s="180"/>
      <c r="Q38" s="180"/>
      <c r="R38" s="180"/>
      <c r="S38" s="180"/>
    </row>
    <row r="39" ht="15.75" customHeight="1">
      <c r="A39" s="203">
        <f>E13</f>
        <v>1</v>
      </c>
      <c r="B39" s="204">
        <f>H5</f>
        <v>-3</v>
      </c>
      <c r="C39" s="203">
        <f>C13</f>
        <v>0</v>
      </c>
      <c r="D39" s="205" t="s">
        <v>54</v>
      </c>
      <c r="E39" s="168"/>
      <c r="F39" s="146" t="str">
        <f>F38</f>
        <v/>
      </c>
      <c r="G39" s="183">
        <f>F39-G38</f>
        <v>-12</v>
      </c>
      <c r="H39" s="183">
        <f>H38-H38</f>
        <v>0</v>
      </c>
      <c r="J39" s="152"/>
      <c r="K39" s="184"/>
      <c r="L39" s="184"/>
      <c r="M39" s="185"/>
      <c r="N39" s="180"/>
      <c r="O39" s="180"/>
    </row>
    <row r="40" ht="15.75" customHeight="1">
      <c r="A40" s="203">
        <f>F11</f>
        <v>-2</v>
      </c>
      <c r="B40" s="203">
        <f>F10</f>
        <v>-2</v>
      </c>
      <c r="C40" s="203">
        <f>A39</f>
        <v>1</v>
      </c>
      <c r="D40" s="168" t="s">
        <v>11</v>
      </c>
      <c r="E40" s="168"/>
      <c r="F40" s="21" t="str">
        <f>E29</f>
        <v>69</v>
      </c>
      <c r="G40" s="187" t="str">
        <f>E31</f>
        <v/>
      </c>
      <c r="H40" s="187" t="str">
        <f>E30</f>
        <v>80</v>
      </c>
      <c r="I40" s="188"/>
      <c r="J40" s="189"/>
      <c r="K40" s="134" t="str">
        <f>CONCATENATE(A1+1,B1-1,C1-1)</f>
        <v>84-1-1</v>
      </c>
      <c r="L40" s="134"/>
      <c r="M40" s="190" t="str">
        <f>CONCATENATE(MID(K40,1,1),MID(K40,2,1),MID(K40,4,1))</f>
        <v>841</v>
      </c>
      <c r="N40" s="180"/>
      <c r="O40" s="180"/>
      <c r="P40" s="180"/>
      <c r="Q40" s="180"/>
      <c r="R40" s="180"/>
      <c r="S40" s="180"/>
    </row>
    <row r="41" ht="15.75" customHeight="1">
      <c r="A41" s="203">
        <f t="shared" ref="A41:C41" si="17">A38+A40</f>
        <v>6</v>
      </c>
      <c r="B41" s="203">
        <f t="shared" si="17"/>
        <v>1</v>
      </c>
      <c r="C41" s="203">
        <f t="shared" si="17"/>
        <v>1</v>
      </c>
      <c r="D41" s="168"/>
      <c r="E41" s="168"/>
      <c r="F41" s="2">
        <v>1.0</v>
      </c>
      <c r="G41" s="191"/>
      <c r="H41" s="191"/>
      <c r="I41" s="188"/>
      <c r="J41" s="189"/>
      <c r="K41" s="184" t="s">
        <v>47</v>
      </c>
      <c r="L41" s="184"/>
      <c r="M41" s="190"/>
      <c r="N41" s="180"/>
      <c r="O41" s="180"/>
      <c r="P41" s="180"/>
      <c r="Q41" s="180"/>
      <c r="R41" s="180"/>
      <c r="S41" s="180"/>
    </row>
    <row r="42" ht="15.75" customHeight="1">
      <c r="A42" s="195"/>
      <c r="B42" s="168"/>
      <c r="C42" s="168"/>
      <c r="D42" s="170" t="s">
        <v>11</v>
      </c>
      <c r="E42" s="168"/>
      <c r="F42" s="2">
        <f>G34</f>
        <v>0</v>
      </c>
      <c r="G42" s="191">
        <f>F34</f>
        <v>6</v>
      </c>
      <c r="H42" s="191">
        <f>H34</f>
        <v>-1</v>
      </c>
      <c r="I42" s="147"/>
      <c r="J42" s="152"/>
      <c r="K42" s="193" t="s">
        <v>48</v>
      </c>
      <c r="L42" s="198"/>
      <c r="M42" s="194">
        <v>787.0</v>
      </c>
      <c r="N42" s="180"/>
      <c r="O42" s="180"/>
      <c r="P42" s="180"/>
      <c r="Q42" s="180"/>
      <c r="R42" s="180"/>
      <c r="S42" s="180"/>
    </row>
    <row r="43" ht="15.75" customHeight="1">
      <c r="D43" s="168"/>
      <c r="E43" s="168"/>
      <c r="G43" s="191"/>
      <c r="H43" s="191"/>
      <c r="I43" s="188"/>
      <c r="J43" s="189"/>
      <c r="K43" s="184"/>
      <c r="L43" s="184"/>
      <c r="M43" s="190"/>
      <c r="N43" s="180"/>
      <c r="O43" s="180"/>
      <c r="P43" s="180"/>
      <c r="Q43" s="180"/>
      <c r="R43" s="180"/>
      <c r="S43" s="180"/>
    </row>
    <row r="44" ht="15.75" customHeight="1">
      <c r="B44" s="168">
        <v>873.0</v>
      </c>
      <c r="C44" s="168"/>
      <c r="D44" s="168"/>
      <c r="E44" s="168"/>
      <c r="F44" s="196"/>
      <c r="G44" s="197"/>
      <c r="H44" s="197"/>
      <c r="I44" s="188"/>
      <c r="J44" s="189"/>
      <c r="K44" s="184"/>
      <c r="L44" s="184"/>
      <c r="M44" s="190"/>
      <c r="N44" s="180"/>
      <c r="O44" s="180"/>
      <c r="P44" s="180"/>
      <c r="Q44" s="180"/>
      <c r="R44" s="180"/>
      <c r="S44" s="180"/>
    </row>
    <row r="45" ht="15.75" customHeight="1">
      <c r="B45" s="168">
        <v>78.0</v>
      </c>
      <c r="C45" s="168"/>
      <c r="D45" s="168" t="s">
        <v>55</v>
      </c>
      <c r="E45" s="168">
        <f>B44+B45</f>
        <v>951</v>
      </c>
      <c r="F45" s="2" t="s">
        <v>56</v>
      </c>
      <c r="G45" s="191"/>
      <c r="H45" s="191"/>
      <c r="I45" s="188"/>
      <c r="J45" s="189"/>
      <c r="K45" s="184"/>
      <c r="L45" s="184"/>
      <c r="M45" s="190"/>
      <c r="N45" s="132"/>
      <c r="O45" s="180"/>
      <c r="P45" s="180"/>
      <c r="Q45" s="180"/>
      <c r="R45" s="180"/>
      <c r="S45" s="180"/>
    </row>
    <row r="46" ht="15.75" customHeight="1">
      <c r="B46" s="168"/>
      <c r="C46" s="168"/>
      <c r="D46" s="168" t="s">
        <v>57</v>
      </c>
      <c r="E46" s="168">
        <f>AVERAGE(B44:B45)</f>
        <v>475.5</v>
      </c>
      <c r="G46" s="191"/>
      <c r="H46" s="191"/>
      <c r="I46" s="126"/>
      <c r="J46" s="126"/>
      <c r="K46" s="184"/>
      <c r="L46" s="184"/>
      <c r="M46" s="190"/>
      <c r="N46" s="132"/>
      <c r="O46" s="180"/>
      <c r="P46" s="180"/>
      <c r="Q46" s="180"/>
      <c r="R46" s="180"/>
      <c r="S46" s="180"/>
    </row>
    <row r="47" ht="15.75" customHeight="1">
      <c r="B47" s="192" t="str">
        <f>CONCATENATE(RIGHT(B45,1),MID(B45,2,1),LEFT(B45,1))</f>
        <v>887</v>
      </c>
      <c r="C47" s="168"/>
      <c r="D47" s="168"/>
      <c r="E47" s="199"/>
      <c r="G47" s="191"/>
      <c r="H47" s="191"/>
      <c r="I47" s="126">
        <v>914.0</v>
      </c>
      <c r="J47" s="126"/>
      <c r="K47" s="184"/>
      <c r="L47" s="184"/>
      <c r="M47" s="191">
        <v>132.0</v>
      </c>
      <c r="N47" s="132"/>
      <c r="O47" s="180"/>
      <c r="P47" s="132"/>
      <c r="Q47" s="132"/>
      <c r="R47" s="132"/>
      <c r="S47" s="132"/>
      <c r="V47" s="10"/>
      <c r="W47" s="10"/>
      <c r="X47" s="10"/>
    </row>
    <row r="48" ht="15.75" customHeight="1">
      <c r="B48" s="168"/>
      <c r="C48" s="168"/>
      <c r="D48" s="168" t="s">
        <v>58</v>
      </c>
      <c r="E48" s="168">
        <f>B44-B45</f>
        <v>795</v>
      </c>
      <c r="F48" s="2" t="s">
        <v>59</v>
      </c>
      <c r="G48" s="185"/>
      <c r="H48" s="185"/>
      <c r="I48" s="191"/>
      <c r="J48" s="191"/>
      <c r="K48" s="200"/>
      <c r="L48" s="200"/>
      <c r="M48" s="190">
        <v>163.0</v>
      </c>
      <c r="N48" s="185"/>
      <c r="O48" s="180"/>
      <c r="P48" s="185"/>
      <c r="Q48" s="185"/>
      <c r="R48" s="185"/>
      <c r="S48" s="185"/>
    </row>
    <row r="49" ht="15.75" customHeight="1">
      <c r="A49" s="2" t="s">
        <v>60</v>
      </c>
      <c r="B49" s="168" t="str">
        <f>Victory!AC129</f>
        <v/>
      </c>
      <c r="C49" s="168"/>
      <c r="D49" s="168" t="s">
        <v>61</v>
      </c>
      <c r="E49" s="168">
        <f>B44-B47</f>
        <v>-14</v>
      </c>
      <c r="F49" s="2" t="s">
        <v>62</v>
      </c>
      <c r="G49" s="191"/>
      <c r="H49" s="191"/>
      <c r="I49" s="188">
        <v>68.0</v>
      </c>
      <c r="J49" s="188"/>
      <c r="K49" s="200"/>
      <c r="L49" s="200"/>
      <c r="M49" s="190"/>
      <c r="N49" s="185"/>
      <c r="O49" s="180"/>
      <c r="P49" s="185"/>
      <c r="Q49" s="185"/>
      <c r="R49" s="185"/>
      <c r="S49" s="185"/>
    </row>
    <row r="50" ht="15.75" customHeight="1">
      <c r="B50" s="168" t="str">
        <f>Victory!AD129</f>
        <v/>
      </c>
      <c r="C50" s="168"/>
      <c r="D50" s="168"/>
      <c r="E50" s="168"/>
      <c r="G50" s="191"/>
      <c r="H50" s="191"/>
      <c r="I50" s="188"/>
      <c r="J50" s="188"/>
      <c r="K50" s="200"/>
      <c r="L50" s="200"/>
      <c r="M50" s="191"/>
      <c r="N50" s="185"/>
      <c r="O50" s="180"/>
      <c r="P50" s="185"/>
      <c r="Q50" s="185"/>
      <c r="R50" s="185"/>
      <c r="S50" s="185"/>
    </row>
    <row r="51" ht="15.75" customHeight="1">
      <c r="B51" s="168"/>
      <c r="C51" s="168"/>
      <c r="D51" s="168" t="s">
        <v>57</v>
      </c>
      <c r="E51" s="168">
        <f>AVERAGE(E48:E49)</f>
        <v>390.5</v>
      </c>
      <c r="G51" s="191"/>
      <c r="H51" s="191"/>
      <c r="I51" s="188">
        <v>57.0</v>
      </c>
      <c r="J51" s="188"/>
      <c r="K51" s="200"/>
      <c r="L51" s="200"/>
      <c r="M51" s="191"/>
      <c r="N51" s="185"/>
      <c r="O51" s="180"/>
      <c r="P51" s="185"/>
      <c r="Q51" s="185"/>
      <c r="R51" s="185"/>
      <c r="S51" s="185"/>
    </row>
    <row r="52" ht="15.75" customHeight="1">
      <c r="B52" s="168"/>
      <c r="C52" s="168"/>
      <c r="D52" s="168" t="s">
        <v>55</v>
      </c>
      <c r="E52" s="168">
        <f>abs(SUM(E48:E49))</f>
        <v>781</v>
      </c>
      <c r="G52" s="191"/>
      <c r="H52" s="191"/>
      <c r="I52" s="191"/>
      <c r="J52" s="191"/>
      <c r="K52" s="200"/>
      <c r="L52" s="200"/>
      <c r="M52" s="191"/>
      <c r="O52" s="180"/>
    </row>
    <row r="53" ht="15.75" customHeight="1">
      <c r="B53" s="201"/>
      <c r="C53" s="201" t="s">
        <v>38</v>
      </c>
      <c r="D53" s="201" t="s">
        <v>63</v>
      </c>
      <c r="E53" s="168"/>
      <c r="G53" s="191"/>
      <c r="H53" s="191"/>
      <c r="K53" s="200"/>
      <c r="L53" s="200"/>
      <c r="M53" s="191"/>
      <c r="O53" s="180"/>
      <c r="R53" s="2"/>
    </row>
    <row r="54" ht="15.75" customHeight="1">
      <c r="A54" s="2" t="s">
        <v>64</v>
      </c>
      <c r="B54" s="38" t="str">
        <f>concatenate(B29, B28, A29)</f>
        <v>798</v>
      </c>
      <c r="C54" s="192" t="str">
        <f>RIGHT(E55,3)</f>
        <v>0.5</v>
      </c>
      <c r="D54" s="192">
        <f>C40</f>
        <v>1</v>
      </c>
      <c r="E54" s="11" t="s">
        <v>11</v>
      </c>
      <c r="G54" s="191"/>
      <c r="H54" s="191"/>
      <c r="K54" s="200"/>
      <c r="L54" s="200"/>
      <c r="M54" s="191"/>
      <c r="O54" s="180"/>
    </row>
    <row r="55" ht="15.75" customHeight="1">
      <c r="B55" s="38" t="str">
        <f>concatenate(A28, D16, C39)</f>
        <v>10-10</v>
      </c>
      <c r="C55" s="192" t="str">
        <f>LEFT(E9,2)</f>
        <v>68</v>
      </c>
      <c r="D55" s="192">
        <f>A39</f>
        <v>1</v>
      </c>
      <c r="E55" s="2">
        <f t="shared" ref="E55:E56" si="18">E51</f>
        <v>390.5</v>
      </c>
      <c r="I55" s="2"/>
      <c r="J55" s="2"/>
      <c r="K55" s="169"/>
      <c r="L55" s="169"/>
      <c r="O55" s="132"/>
    </row>
    <row r="56" ht="15.75" customHeight="1">
      <c r="B56" s="38" t="str">
        <f>concatenate(A28+1, B28, A41)</f>
        <v>1196</v>
      </c>
      <c r="D56" s="2">
        <f>A39-1</f>
        <v>0</v>
      </c>
      <c r="E56" s="2">
        <f t="shared" si="18"/>
        <v>781</v>
      </c>
      <c r="G56" s="191"/>
      <c r="H56" s="2"/>
      <c r="K56" s="169"/>
      <c r="L56" s="169"/>
    </row>
    <row r="57" ht="15.75" customHeight="1">
      <c r="B57" s="38" t="str">
        <f>concatenate(B28+A29, B28, B28-B29) </f>
        <v>1792</v>
      </c>
      <c r="D57" s="2">
        <f>C41</f>
        <v>1</v>
      </c>
      <c r="G57" s="191"/>
      <c r="J57" s="2">
        <v>470.0</v>
      </c>
      <c r="K57" s="169">
        <f>SQRTPI(J57)</f>
        <v>38.42588382</v>
      </c>
      <c r="L57" s="169"/>
    </row>
    <row r="58" ht="15.75" customHeight="1">
      <c r="B58" s="38" t="str">
        <f>concatenate(C38, A38)</f>
        <v>8</v>
      </c>
      <c r="K58" s="169">
        <f>J57*J57</f>
        <v>220900</v>
      </c>
      <c r="L58" s="169"/>
    </row>
    <row r="59" ht="15.75" customHeight="1">
      <c r="B59" s="38" t="str">
        <f>concatenate(B28+1,A28-1, A29) </f>
        <v>1098</v>
      </c>
      <c r="K59" s="169">
        <f>382*382</f>
        <v>145924</v>
      </c>
      <c r="L59" s="169"/>
    </row>
    <row r="60" ht="15.75" customHeight="1">
      <c r="B60" s="38" t="str">
        <f>concatenate(A40, A41-1, B28)</f>
        <v>-259</v>
      </c>
      <c r="C60" s="206" t="str">
        <f>concatenate(A32, A31, A30)</f>
        <v>006</v>
      </c>
      <c r="D60" s="207" t="s">
        <v>65</v>
      </c>
      <c r="K60" s="169"/>
      <c r="L60" s="169"/>
    </row>
    <row r="61" ht="15.75" customHeight="1">
      <c r="A61" s="2" t="s">
        <v>66</v>
      </c>
      <c r="B61" s="38" t="str">
        <f>concatenate(A29, B28, B40+1) </f>
        <v>89-1</v>
      </c>
      <c r="K61" s="169"/>
      <c r="L61" s="169"/>
    </row>
    <row r="62" ht="15.75" customHeight="1">
      <c r="B62" s="38"/>
      <c r="K62" s="169"/>
      <c r="L62" s="169"/>
    </row>
    <row r="63" ht="15.75" customHeight="1">
      <c r="B63" s="38"/>
      <c r="K63" s="169"/>
      <c r="L63" s="169"/>
    </row>
    <row r="64" ht="15.75" customHeight="1">
      <c r="B64" s="38"/>
      <c r="K64" s="169"/>
      <c r="L64" s="169"/>
    </row>
    <row r="65" ht="15.75" customHeight="1">
      <c r="D65" s="2">
        <f>F70*B1</f>
        <v>0</v>
      </c>
      <c r="K65" s="169"/>
      <c r="L65" s="169"/>
    </row>
    <row r="66" ht="15.75" customHeight="1">
      <c r="D66" s="2">
        <f>E70*F70</f>
        <v>28</v>
      </c>
      <c r="K66" s="169"/>
      <c r="L66" s="169"/>
    </row>
    <row r="67" ht="15.75" customHeight="1">
      <c r="K67" s="169"/>
      <c r="L67" s="169"/>
    </row>
    <row r="68" ht="15.75" customHeight="1">
      <c r="A68" s="206" t="str">
        <f>concatenate(C40,B40,B39) </f>
        <v>1-2-3</v>
      </c>
      <c r="B68" s="38"/>
      <c r="C68" s="38"/>
      <c r="D68" s="38"/>
      <c r="E68" s="38"/>
      <c r="F68" s="38"/>
      <c r="G68" s="38"/>
      <c r="H68" s="38"/>
      <c r="I68" s="38"/>
      <c r="K68" s="169"/>
      <c r="L68" s="169"/>
    </row>
    <row r="69" ht="15.75" customHeight="1">
      <c r="A69" s="206" t="str">
        <f>concatenate(A32, A30, A31)</f>
        <v>060</v>
      </c>
      <c r="B69" s="38"/>
      <c r="C69" s="38">
        <f t="shared" ref="C69:F69" si="19">C70-1</f>
        <v>4</v>
      </c>
      <c r="D69" s="38">
        <f t="shared" si="19"/>
        <v>5</v>
      </c>
      <c r="E69" s="38">
        <f t="shared" si="19"/>
        <v>6</v>
      </c>
      <c r="F69" s="38">
        <f t="shared" si="19"/>
        <v>3</v>
      </c>
      <c r="G69" s="38"/>
      <c r="H69" s="38">
        <f t="shared" ref="H69:I69" si="20">H70-1</f>
        <v>7</v>
      </c>
      <c r="I69" s="38">
        <f t="shared" si="20"/>
        <v>8</v>
      </c>
    </row>
    <row r="70" ht="15.75" customHeight="1">
      <c r="A70" s="206" t="str">
        <f>concatenate(A31, A29, B29)</f>
        <v>087</v>
      </c>
      <c r="B70" s="38"/>
      <c r="C70" s="38">
        <f>D70-1</f>
        <v>5</v>
      </c>
      <c r="D70" s="38">
        <f>if(E70-1&lt;0, 9,E70-1)</f>
        <v>6</v>
      </c>
      <c r="E70" s="208">
        <v>7.0</v>
      </c>
      <c r="F70" s="208">
        <v>4.0</v>
      </c>
      <c r="G70" s="38"/>
      <c r="H70" s="38">
        <f>E70+1</f>
        <v>8</v>
      </c>
      <c r="I70" s="38">
        <f>H70+1</f>
        <v>9</v>
      </c>
      <c r="K70" s="169"/>
      <c r="L70" s="169"/>
    </row>
    <row r="71" ht="15.75" customHeight="1">
      <c r="A71" s="206" t="str">
        <f>concatenate(A28, D25, B29)</f>
        <v>1037</v>
      </c>
      <c r="B71" s="38"/>
      <c r="C71" s="38">
        <f t="shared" ref="C71:F71" si="21">C70+1</f>
        <v>6</v>
      </c>
      <c r="D71" s="38">
        <f t="shared" si="21"/>
        <v>7</v>
      </c>
      <c r="E71" s="38">
        <f t="shared" si="21"/>
        <v>8</v>
      </c>
      <c r="F71" s="38">
        <f t="shared" si="21"/>
        <v>5</v>
      </c>
      <c r="G71" s="38"/>
      <c r="H71" s="38">
        <f t="shared" ref="H71:I71" si="22">H70+1</f>
        <v>9</v>
      </c>
      <c r="I71" s="38">
        <f t="shared" si="22"/>
        <v>10</v>
      </c>
      <c r="K71" s="169"/>
      <c r="L71" s="169"/>
    </row>
    <row r="72" ht="15.75" customHeight="1">
      <c r="A72" s="206" t="str">
        <f>concatenate(B40+1,B39-1, B38) </f>
        <v>-1-43</v>
      </c>
      <c r="B72" s="38" t="str">
        <f>concatenate(B39, C39)</f>
        <v>-30</v>
      </c>
      <c r="C72" s="38"/>
      <c r="D72" s="38"/>
      <c r="E72" s="38"/>
      <c r="F72" s="38"/>
      <c r="G72" s="38"/>
      <c r="H72" s="38"/>
      <c r="I72" s="38"/>
      <c r="K72" s="169"/>
      <c r="L72" s="169"/>
    </row>
    <row r="73" ht="15.75" customHeight="1">
      <c r="A73" s="120" t="str">
        <f>concatenate(A41, C79, B40)</f>
        <v>61-2</v>
      </c>
      <c r="C73" s="38"/>
      <c r="D73" s="38"/>
      <c r="E73" s="38"/>
      <c r="F73" s="38"/>
      <c r="G73" s="38"/>
      <c r="H73" s="38"/>
      <c r="I73" s="38"/>
      <c r="K73" s="169"/>
      <c r="L73" s="169"/>
    </row>
    <row r="74" ht="15.75" customHeight="1">
      <c r="A74" s="206" t="str">
        <f>concatenate(A38, C39, B39)</f>
        <v>80-3</v>
      </c>
      <c r="B74" s="38" t="str">
        <f>concatenate(right(A74, 1), left(A74, 1))</f>
        <v>38</v>
      </c>
      <c r="C74" s="38"/>
      <c r="D74" s="38"/>
      <c r="E74" s="38"/>
      <c r="F74" s="38"/>
      <c r="G74" s="38"/>
      <c r="H74" s="38"/>
      <c r="I74" s="38"/>
      <c r="K74" s="169"/>
      <c r="L74" s="169"/>
    </row>
    <row r="75" ht="15.75" customHeight="1">
      <c r="B75" s="38"/>
      <c r="C75" s="38"/>
      <c r="D75" s="38"/>
      <c r="E75" s="38" t="str">
        <f>concatenate("arrange in the above order ==&gt;", E52) </f>
        <v>arrange in the above order ==&gt;781</v>
      </c>
      <c r="F75" s="38"/>
      <c r="G75" s="38"/>
      <c r="H75" s="38"/>
      <c r="I75" s="38"/>
      <c r="K75" s="169"/>
      <c r="L75" s="169"/>
    </row>
    <row r="76" ht="15.75" customHeight="1">
      <c r="A76" s="56" t="s">
        <v>68</v>
      </c>
      <c r="B76" s="38"/>
      <c r="C76" s="38"/>
      <c r="D76" s="38"/>
      <c r="E76" s="38"/>
      <c r="F76" s="38"/>
      <c r="G76" s="38"/>
      <c r="H76" s="38"/>
      <c r="I76" s="38"/>
      <c r="K76" s="169"/>
      <c r="L76" s="169"/>
      <c r="O76" s="2">
        <f>108+25</f>
        <v>133</v>
      </c>
    </row>
    <row r="77" ht="15.75" customHeight="1">
      <c r="A77" s="2">
        <f>E46</f>
        <v>475.5</v>
      </c>
      <c r="B77" s="2">
        <f>A77+10</f>
        <v>485.5</v>
      </c>
      <c r="K77" s="169"/>
      <c r="L77" s="169"/>
      <c r="O77" s="2">
        <f>SQRTPI(O76)</f>
        <v>20.44093498</v>
      </c>
    </row>
    <row r="78" ht="15.75" customHeight="1">
      <c r="A78" s="192" t="str">
        <f>concatenate(A41, B41, C38)</f>
        <v>61</v>
      </c>
      <c r="K78" s="169"/>
      <c r="L78" s="169"/>
    </row>
    <row r="79" ht="15.75" customHeight="1">
      <c r="A79" s="38" t="str">
        <f t="shared" ref="A79:C79" si="23">right(A41, 1)</f>
        <v>6</v>
      </c>
      <c r="B79" s="38" t="str">
        <f t="shared" si="23"/>
        <v>1</v>
      </c>
      <c r="C79" s="38" t="str">
        <f t="shared" si="23"/>
        <v>1</v>
      </c>
      <c r="K79" s="169"/>
      <c r="L79" s="169"/>
      <c r="O79" s="2" t="str">
        <f>#REF!-O76</f>
        <v>#REF!</v>
      </c>
    </row>
    <row r="80" ht="15.75" customHeight="1">
      <c r="K80" s="169"/>
      <c r="L80" s="169"/>
    </row>
    <row r="81" ht="15.75" customHeight="1">
      <c r="A81" s="38">
        <f>C40</f>
        <v>1</v>
      </c>
      <c r="B81" s="38">
        <f>C39</f>
        <v>0</v>
      </c>
      <c r="C81" s="38">
        <f>C41</f>
        <v>1</v>
      </c>
      <c r="K81" s="169"/>
      <c r="L81" s="169"/>
    </row>
    <row r="82" ht="15.75" customHeight="1">
      <c r="A82" s="38">
        <f>C40</f>
        <v>1</v>
      </c>
      <c r="B82" s="38">
        <f>C39</f>
        <v>0</v>
      </c>
      <c r="C82" s="38" t="str">
        <f>C38</f>
        <v/>
      </c>
      <c r="K82" s="169"/>
      <c r="L82" s="169"/>
    </row>
    <row r="83" ht="15.75" customHeight="1">
      <c r="A83" s="38">
        <f>C39</f>
        <v>0</v>
      </c>
      <c r="B83" s="38">
        <f>C41</f>
        <v>1</v>
      </c>
      <c r="C83" s="38">
        <f>C40</f>
        <v>1</v>
      </c>
      <c r="K83" s="169"/>
      <c r="L83" s="169"/>
    </row>
    <row r="84" ht="15.75" customHeight="1">
      <c r="A84" s="38" t="str">
        <f>right(D90, 1)</f>
        <v>1</v>
      </c>
      <c r="B84" s="38" t="str">
        <f>left(B102, 1)</f>
        <v>4</v>
      </c>
      <c r="C84" s="38" t="str">
        <f>right(B101, 1)</f>
        <v>2</v>
      </c>
      <c r="D84" s="2">
        <f t="shared" ref="D84:E84" si="24">D28</f>
        <v>0</v>
      </c>
      <c r="E84" s="2" t="str">
        <f t="shared" si="24"/>
        <v>0</v>
      </c>
      <c r="K84" s="169"/>
      <c r="L84" s="169"/>
    </row>
    <row r="85" ht="15.75" customHeight="1">
      <c r="A85" s="2">
        <f>C79+1</f>
        <v>2</v>
      </c>
      <c r="C85" s="2" t="str">
        <f>B79</f>
        <v>1</v>
      </c>
      <c r="E85" s="2" t="str">
        <f t="shared" ref="E85:E87" si="26">E29</f>
        <v>69</v>
      </c>
      <c r="K85" s="169"/>
      <c r="L85" s="169"/>
    </row>
    <row r="86" ht="15.75" customHeight="1">
      <c r="A86" s="2" t="str">
        <f t="shared" ref="A86:B86" si="25">B38</f>
        <v>3</v>
      </c>
      <c r="B86" s="2" t="str">
        <f t="shared" si="25"/>
        <v/>
      </c>
      <c r="C86" s="2" t="str">
        <f>concatenate(B39, " or ", C39)</f>
        <v>-3 or 0</v>
      </c>
      <c r="E86" s="2" t="str">
        <f t="shared" si="26"/>
        <v>80</v>
      </c>
      <c r="K86" s="169"/>
      <c r="L86" s="169"/>
    </row>
    <row r="87" ht="15.75" customHeight="1">
      <c r="E87" s="2" t="str">
        <f t="shared" si="26"/>
        <v/>
      </c>
      <c r="K87" s="169"/>
      <c r="L87" s="169"/>
    </row>
    <row r="88" ht="15.75" customHeight="1">
      <c r="K88" s="169"/>
      <c r="L88" s="169"/>
    </row>
    <row r="89" ht="15.75" customHeight="1">
      <c r="A89" s="2" t="s">
        <v>70</v>
      </c>
      <c r="B89" s="2">
        <v>82.0</v>
      </c>
      <c r="D89" s="209">
        <f>B89*E56</f>
        <v>64042</v>
      </c>
      <c r="E89" s="2">
        <f>B90*E55</f>
        <v>18744</v>
      </c>
      <c r="K89" s="169"/>
      <c r="L89" s="169"/>
    </row>
    <row r="90" ht="15.75" customHeight="1">
      <c r="A90" s="2" t="s">
        <v>71</v>
      </c>
      <c r="B90" s="2">
        <v>48.0</v>
      </c>
      <c r="D90" s="2">
        <f>E56</f>
        <v>781</v>
      </c>
      <c r="E90" s="2">
        <f>B90*E56</f>
        <v>37488</v>
      </c>
      <c r="K90" s="169"/>
      <c r="L90" s="169"/>
    </row>
    <row r="91" ht="15.75" customHeight="1">
      <c r="K91" s="169"/>
      <c r="L91" s="169"/>
    </row>
    <row r="92" ht="15.75" customHeight="1">
      <c r="K92" s="169"/>
      <c r="L92" s="169"/>
    </row>
    <row r="93" ht="15.75" customHeight="1">
      <c r="B93" s="2">
        <v>80.0</v>
      </c>
      <c r="D93" s="209">
        <f>B93*E56</f>
        <v>62480</v>
      </c>
      <c r="E93" s="2">
        <f>B93*E56</f>
        <v>62480</v>
      </c>
      <c r="K93" s="169"/>
      <c r="L93" s="169"/>
    </row>
    <row r="94" ht="15.75" customHeight="1">
      <c r="B94" s="2">
        <v>78.0</v>
      </c>
      <c r="D94" s="2" t="str">
        <f>E60</f>
        <v/>
      </c>
      <c r="E94" s="2">
        <f>B94*E60</f>
        <v>0</v>
      </c>
      <c r="K94" s="169"/>
      <c r="L94" s="169"/>
    </row>
    <row r="95" ht="15.75" customHeight="1">
      <c r="L95" s="169"/>
    </row>
    <row r="96" ht="15.75" customHeight="1">
      <c r="K96" s="169"/>
      <c r="L96" s="169"/>
    </row>
    <row r="97" ht="15.75" customHeight="1">
      <c r="K97" s="169"/>
      <c r="L97" s="169"/>
    </row>
    <row r="98" ht="15.75" customHeight="1">
      <c r="K98" s="169"/>
      <c r="L98" s="169"/>
    </row>
    <row r="99" ht="15.75" customHeight="1">
      <c r="K99" s="169"/>
      <c r="L99" s="169"/>
    </row>
    <row r="100" ht="15.75" customHeight="1">
      <c r="K100" s="169"/>
      <c r="L100" s="169"/>
    </row>
    <row r="101" ht="15.75" customHeight="1">
      <c r="A101" s="2" t="s">
        <v>72</v>
      </c>
      <c r="B101" s="209" t="str">
        <f>Right(D89, 3)</f>
        <v>042</v>
      </c>
      <c r="D101" s="2" t="s">
        <v>73</v>
      </c>
      <c r="K101" s="169"/>
      <c r="L101" s="169"/>
    </row>
    <row r="102" ht="15.75" customHeight="1">
      <c r="B102" s="2" t="str">
        <f>left(A77,2) </f>
        <v>47</v>
      </c>
      <c r="D102" s="2" t="str">
        <f>left(D89,2) </f>
        <v>64</v>
      </c>
      <c r="K102" s="169"/>
      <c r="L102" s="169"/>
    </row>
    <row r="103" ht="15.75" customHeight="1">
      <c r="B103" s="2" t="str">
        <f>concatenate(C79, B79, A79)</f>
        <v>116</v>
      </c>
      <c r="C103" s="2">
        <f>B103-10</f>
        <v>106</v>
      </c>
      <c r="D103" s="2">
        <f>C103-1</f>
        <v>105</v>
      </c>
      <c r="K103" s="169"/>
      <c r="L103" s="169"/>
    </row>
    <row r="104" ht="15.75" customHeight="1">
      <c r="B104" s="2" t="str">
        <f>right(C103,2)</f>
        <v>06</v>
      </c>
      <c r="C104" s="2" t="str">
        <f>right(B103,2)</f>
        <v>16</v>
      </c>
      <c r="K104" s="169"/>
      <c r="L104" s="169"/>
    </row>
    <row r="105" ht="15.75" customHeight="1">
      <c r="K105" s="169"/>
      <c r="L105" s="169"/>
    </row>
    <row r="106" ht="15.75" customHeight="1">
      <c r="J106" s="2">
        <f>34*34</f>
        <v>1156</v>
      </c>
      <c r="K106" s="169"/>
      <c r="L106" s="169"/>
    </row>
    <row r="107" ht="15.75" customHeight="1">
      <c r="J107" s="2">
        <f>34*43</f>
        <v>1462</v>
      </c>
      <c r="K107" s="169"/>
      <c r="L107" s="169"/>
    </row>
    <row r="108" ht="15.75" customHeight="1">
      <c r="L108" s="169"/>
    </row>
    <row r="109" ht="15.75" customHeight="1">
      <c r="A109" s="210">
        <v>46197.0</v>
      </c>
      <c r="B109" s="2" t="s">
        <v>74</v>
      </c>
      <c r="J109" s="2">
        <v>864.0</v>
      </c>
      <c r="K109" s="169">
        <f>SQRTPI(J109)</f>
        <v>52.09929033</v>
      </c>
      <c r="L109" s="169"/>
    </row>
    <row r="110" ht="15.75" customHeight="1">
      <c r="K110" s="169">
        <f>J109*J109</f>
        <v>746496</v>
      </c>
      <c r="L110" s="169"/>
    </row>
    <row r="111" ht="15.75" customHeight="1">
      <c r="D111" s="207">
        <v>4.0</v>
      </c>
      <c r="E111" s="207">
        <v>1.0</v>
      </c>
      <c r="K111" s="169">
        <f>318*813</f>
        <v>258534</v>
      </c>
      <c r="L111" s="169"/>
    </row>
    <row r="112" ht="15.75" customHeight="1">
      <c r="B112" s="2">
        <f>B93*B94</f>
        <v>6240</v>
      </c>
      <c r="K112" s="169"/>
      <c r="L112" s="169"/>
    </row>
    <row r="113" ht="15.75" customHeight="1">
      <c r="D113" s="211">
        <v>7.0</v>
      </c>
      <c r="E113" s="211">
        <v>3.0</v>
      </c>
      <c r="F113" s="211">
        <v>1.0</v>
      </c>
      <c r="I113" s="2">
        <f>SQRTPI(J109)*0.1233211111</f>
        <v>6.424942371</v>
      </c>
      <c r="K113" s="169"/>
      <c r="L113" s="169"/>
    </row>
    <row r="114" ht="15.75" customHeight="1">
      <c r="B114" s="2">
        <f>B93*B94</f>
        <v>6240</v>
      </c>
      <c r="J114" s="2">
        <f>367-371</f>
        <v>-4</v>
      </c>
      <c r="K114" s="169"/>
      <c r="L114" s="169"/>
    </row>
    <row r="115" ht="15.75" customHeight="1">
      <c r="D115" s="206">
        <f>D111+F113</f>
        <v>5</v>
      </c>
      <c r="E115" s="206">
        <f>D111+E113</f>
        <v>7</v>
      </c>
      <c r="F115" s="206">
        <f>D115+E115</f>
        <v>12</v>
      </c>
      <c r="J115" s="2">
        <f>4*2</f>
        <v>8</v>
      </c>
      <c r="K115" s="169"/>
      <c r="L115" s="169"/>
    </row>
    <row r="116" ht="15.75" customHeight="1">
      <c r="B116" s="2">
        <f>B112-B114</f>
        <v>0</v>
      </c>
      <c r="K116" s="169"/>
      <c r="L116" s="169"/>
    </row>
    <row r="117" ht="15.75" customHeight="1">
      <c r="D117" s="207">
        <v>7.0</v>
      </c>
      <c r="E117" s="207">
        <v>0.0</v>
      </c>
      <c r="F117" s="207">
        <v>2.0</v>
      </c>
      <c r="J117" s="2">
        <f>962-516</f>
        <v>446</v>
      </c>
      <c r="K117" s="169"/>
      <c r="L117" s="169"/>
    </row>
    <row r="118" ht="15.75" customHeight="1">
      <c r="K118" s="169"/>
      <c r="L118" s="169"/>
    </row>
    <row r="119" ht="15.75" customHeight="1">
      <c r="D119" s="214">
        <f>D115+F117</f>
        <v>7</v>
      </c>
      <c r="E119" s="214">
        <f>D115+E117</f>
        <v>5</v>
      </c>
      <c r="F119" s="214">
        <f>D119+E119</f>
        <v>12</v>
      </c>
      <c r="J119" s="2">
        <f>93*93</f>
        <v>8649</v>
      </c>
      <c r="K119" s="169"/>
      <c r="L119" s="169"/>
    </row>
    <row r="120" ht="15.75" customHeight="1">
      <c r="J120" s="2">
        <f>93*39</f>
        <v>3627</v>
      </c>
      <c r="K120" s="169"/>
      <c r="L120" s="169"/>
    </row>
    <row r="121" ht="15.75" customHeight="1">
      <c r="D121" s="206">
        <f>D117+F119</f>
        <v>19</v>
      </c>
      <c r="E121" s="206">
        <f>D117+E119</f>
        <v>12</v>
      </c>
      <c r="F121" s="206">
        <f>D121+E121</f>
        <v>31</v>
      </c>
      <c r="L121" s="169"/>
    </row>
    <row r="122" ht="15.75" customHeight="1">
      <c r="J122" s="2">
        <v>988.0</v>
      </c>
      <c r="K122" s="169">
        <f>SQRTPI(J122)</f>
        <v>55.71259769</v>
      </c>
      <c r="L122" s="169"/>
    </row>
    <row r="123" ht="15.75" customHeight="1">
      <c r="K123" s="169">
        <f>J122*J122</f>
        <v>976144</v>
      </c>
      <c r="L123" s="169"/>
    </row>
    <row r="124" ht="15.75" customHeight="1">
      <c r="K124" s="169">
        <f>318*813</f>
        <v>258534</v>
      </c>
      <c r="L124" s="169"/>
    </row>
    <row r="125" ht="15.75" customHeight="1">
      <c r="K125" s="169"/>
      <c r="L125" s="169"/>
    </row>
    <row r="126" ht="15.75" customHeight="1">
      <c r="B126" s="207">
        <v>197.0</v>
      </c>
      <c r="I126" s="2">
        <f>SQRTPI(J122)*0.1233211111</f>
        <v>6.87053945</v>
      </c>
      <c r="K126" s="169"/>
      <c r="L126" s="169"/>
    </row>
    <row r="127" ht="15.75" customHeight="1">
      <c r="B127" s="207">
        <v>317.0</v>
      </c>
      <c r="J127" s="2">
        <f>371-945</f>
        <v>-574</v>
      </c>
      <c r="K127" s="169"/>
      <c r="L127" s="169"/>
    </row>
    <row r="128" ht="15.75" customHeight="1">
      <c r="B128" s="207">
        <v>363.0</v>
      </c>
      <c r="J128" s="2">
        <f>J127*2</f>
        <v>-1148</v>
      </c>
      <c r="K128" s="169"/>
      <c r="L128" s="169"/>
    </row>
    <row r="129" ht="15.75" customHeight="1">
      <c r="B129" s="207">
        <v>146.0</v>
      </c>
      <c r="K129" s="169"/>
      <c r="L129" s="169"/>
    </row>
    <row r="130" ht="15.75" customHeight="1">
      <c r="B130" s="207">
        <v>14.0</v>
      </c>
      <c r="C130" s="207">
        <v>7.0</v>
      </c>
      <c r="J130" s="2">
        <f>962-516</f>
        <v>446</v>
      </c>
      <c r="K130" s="169"/>
      <c r="L130" s="169"/>
    </row>
    <row r="131" ht="15.75" customHeight="1">
      <c r="B131" s="207">
        <v>12.0</v>
      </c>
      <c r="C131" s="207">
        <v>5.0</v>
      </c>
      <c r="K131" s="169"/>
      <c r="L131" s="169"/>
    </row>
    <row r="132" ht="15.75" customHeight="1">
      <c r="B132" s="207">
        <v>16.0</v>
      </c>
      <c r="J132" s="2">
        <f>27*27</f>
        <v>729</v>
      </c>
      <c r="K132" s="169"/>
      <c r="L132" s="169"/>
    </row>
    <row r="133" ht="15.75" customHeight="1">
      <c r="B133" s="207">
        <v>13.0</v>
      </c>
      <c r="J133" s="2">
        <f>27*72</f>
        <v>1944</v>
      </c>
      <c r="K133" s="169"/>
      <c r="L133" s="169"/>
    </row>
    <row r="134" ht="15.75" customHeight="1">
      <c r="B134" s="207">
        <v>31.0</v>
      </c>
      <c r="C134" s="207">
        <v>6.0</v>
      </c>
      <c r="D134" s="207">
        <v>0.0</v>
      </c>
      <c r="L134" s="169"/>
    </row>
    <row r="135" ht="15.75" customHeight="1">
      <c r="B135" s="207">
        <v>36.0</v>
      </c>
      <c r="C135" s="207">
        <v>6.0</v>
      </c>
      <c r="D135" s="207">
        <v>0.0</v>
      </c>
      <c r="J135" s="2">
        <v>630.0</v>
      </c>
      <c r="K135" s="169">
        <f>SQRTPI(J135)</f>
        <v>44.48823858</v>
      </c>
      <c r="L135" s="169"/>
    </row>
    <row r="136" ht="15.75" customHeight="1">
      <c r="K136" s="169">
        <f>J135*J135</f>
        <v>396900</v>
      </c>
      <c r="L136" s="169"/>
    </row>
    <row r="137" ht="15.75" customHeight="1">
      <c r="K137" s="169">
        <f>318*813</f>
        <v>258534</v>
      </c>
      <c r="L137" s="169"/>
      <c r="N137" s="2" t="s">
        <v>67</v>
      </c>
    </row>
    <row r="138" ht="15.75" customHeight="1">
      <c r="K138" s="169"/>
      <c r="L138" s="169"/>
    </row>
    <row r="139" ht="15.75" customHeight="1">
      <c r="I139" s="2">
        <f>SQRTPI(J135)*0.1233211111</f>
        <v>5.486339012</v>
      </c>
      <c r="K139" s="169"/>
      <c r="L139" s="169"/>
    </row>
    <row r="140" ht="15.75" customHeight="1">
      <c r="J140" s="2">
        <f>988-630</f>
        <v>358</v>
      </c>
      <c r="K140" s="169"/>
      <c r="L140" s="169"/>
    </row>
    <row r="141" ht="15.75" customHeight="1">
      <c r="J141" s="2">
        <f>358*2</f>
        <v>716</v>
      </c>
      <c r="K141" s="169"/>
      <c r="L141" s="169"/>
    </row>
    <row r="142" ht="15.75" customHeight="1">
      <c r="K142" s="169"/>
      <c r="L142" s="169"/>
    </row>
    <row r="143" ht="15.75" customHeight="1">
      <c r="J143" s="2">
        <f>962-516</f>
        <v>446</v>
      </c>
      <c r="K143" s="169"/>
      <c r="L143" s="169"/>
    </row>
    <row r="144" ht="15.75" customHeight="1">
      <c r="K144" s="169"/>
      <c r="L144" s="169"/>
    </row>
    <row r="145" ht="15.75" customHeight="1">
      <c r="J145" s="2">
        <f>27*27</f>
        <v>729</v>
      </c>
      <c r="K145" s="169"/>
      <c r="L145" s="169"/>
    </row>
    <row r="146" ht="15.75" customHeight="1">
      <c r="J146" s="2">
        <f>27*72</f>
        <v>1944</v>
      </c>
      <c r="K146" s="169"/>
      <c r="L146" s="169"/>
      <c r="N146" s="2">
        <f>702+145</f>
        <v>847</v>
      </c>
    </row>
    <row r="147" ht="15.75" customHeight="1">
      <c r="L147" s="169"/>
    </row>
    <row r="148" ht="15.75" customHeight="1">
      <c r="L148" s="169"/>
      <c r="N148" s="2">
        <v>407.0</v>
      </c>
      <c r="P148" s="2">
        <v>911.0</v>
      </c>
    </row>
    <row r="149" ht="15.75" customHeight="1">
      <c r="J149" s="2">
        <v>404.0</v>
      </c>
      <c r="K149" s="169">
        <f>SQRTPI(J149)</f>
        <v>35.62588149</v>
      </c>
      <c r="L149" s="169"/>
      <c r="N149" s="2">
        <v>704.0</v>
      </c>
      <c r="O149" s="2">
        <f>N148*N149</f>
        <v>286528</v>
      </c>
      <c r="P149" s="2">
        <v>119.0</v>
      </c>
      <c r="Q149" s="2">
        <f>COS(P148)*P149</f>
        <v>118.7723162</v>
      </c>
    </row>
    <row r="150" ht="15.75" customHeight="1">
      <c r="K150" s="169">
        <f>J149*J149</f>
        <v>163216</v>
      </c>
      <c r="L150" s="169"/>
      <c r="N150" s="2">
        <v>41.0</v>
      </c>
      <c r="O150" s="2">
        <f>N150*O149</f>
        <v>11747648</v>
      </c>
      <c r="Q150" s="2">
        <f>sin(P148)*P149</f>
        <v>-7.35777922</v>
      </c>
    </row>
    <row r="151" ht="15.75" customHeight="1">
      <c r="K151" s="169">
        <f>318*813</f>
        <v>258534</v>
      </c>
      <c r="L151" s="169"/>
      <c r="N151" s="2">
        <v>14.0</v>
      </c>
      <c r="O151" s="2">
        <f>N151*O149</f>
        <v>4011392</v>
      </c>
      <c r="Q151" s="2">
        <f>tan(P148)*P149</f>
        <v>-7.371883916</v>
      </c>
    </row>
    <row r="152" ht="15.75" customHeight="1">
      <c r="K152" s="169"/>
      <c r="L152" s="169"/>
      <c r="Q152" s="2">
        <f>SQRT(P148)*P149</f>
        <v>3591.750409</v>
      </c>
    </row>
    <row r="153" ht="15.75" customHeight="1">
      <c r="I153" s="2">
        <f>SQRTPI(J149)*0.1233211111</f>
        <v>4.393423289</v>
      </c>
      <c r="K153" s="169"/>
      <c r="L153" s="169"/>
      <c r="P153" s="2">
        <f>abs(P148-P149)</f>
        <v>792</v>
      </c>
    </row>
    <row r="154" ht="15.75" customHeight="1">
      <c r="J154" s="2">
        <f>630-404</f>
        <v>226</v>
      </c>
      <c r="K154" s="169"/>
      <c r="L154" s="169"/>
      <c r="P154" s="2">
        <v>297.0</v>
      </c>
      <c r="Q154" s="2">
        <f>COS(P153)*P154</f>
        <v>282.0486672</v>
      </c>
    </row>
    <row r="155" ht="15.75" customHeight="1">
      <c r="J155" s="2">
        <f>226*2</f>
        <v>452</v>
      </c>
      <c r="K155" s="169"/>
      <c r="L155" s="169"/>
      <c r="Q155" s="2">
        <f>sin(P153)*P154</f>
        <v>93.0459529</v>
      </c>
    </row>
    <row r="156" ht="15.75" customHeight="1">
      <c r="K156" s="169"/>
      <c r="L156" s="169"/>
      <c r="Q156" s="2">
        <f>tan(P153)*P154</f>
        <v>97.97829676</v>
      </c>
    </row>
    <row r="157" ht="15.75" customHeight="1">
      <c r="J157" s="2">
        <f>289-12</f>
        <v>277</v>
      </c>
      <c r="K157" s="169"/>
      <c r="L157" s="169"/>
      <c r="Q157" s="2">
        <f>SQRT(P153)*P154</f>
        <v>8358.320884</v>
      </c>
    </row>
    <row r="158" ht="15.75" customHeight="1">
      <c r="J158" s="2">
        <f>289-912</f>
        <v>-623</v>
      </c>
      <c r="K158" s="169"/>
      <c r="L158" s="169"/>
      <c r="P158" s="2">
        <f>P153-P154</f>
        <v>495</v>
      </c>
      <c r="Q158" s="2">
        <f>P153*0.321</f>
        <v>254.232</v>
      </c>
    </row>
    <row r="159" ht="15.75" customHeight="1">
      <c r="J159" s="2">
        <f>95*95</f>
        <v>9025</v>
      </c>
      <c r="K159" s="169"/>
      <c r="L159" s="169"/>
    </row>
    <row r="160" ht="15.75" customHeight="1">
      <c r="J160" s="2">
        <f>95*59</f>
        <v>5605</v>
      </c>
      <c r="K160" s="169"/>
      <c r="L160" s="169"/>
    </row>
    <row r="161" ht="15.75" customHeight="1">
      <c r="L161" s="169"/>
    </row>
    <row r="162" ht="15.75" customHeight="1">
      <c r="J162" s="2">
        <v>293.0</v>
      </c>
      <c r="K162" s="169">
        <f>SQRTPI(J162)</f>
        <v>30.33952286</v>
      </c>
      <c r="L162" s="169"/>
    </row>
    <row r="163" ht="15.75" customHeight="1">
      <c r="K163" s="169">
        <f>J162*J162</f>
        <v>85849</v>
      </c>
      <c r="L163" s="169"/>
    </row>
    <row r="164" ht="15.75" customHeight="1">
      <c r="K164" s="169">
        <f>318*813</f>
        <v>258534</v>
      </c>
      <c r="L164" s="169"/>
    </row>
    <row r="165" ht="15.75" customHeight="1">
      <c r="K165" s="169"/>
      <c r="L165" s="169"/>
    </row>
    <row r="166" ht="15.75" customHeight="1">
      <c r="I166" s="2">
        <f>SQRTPI(J162)*0.1233211111</f>
        <v>3.74150367</v>
      </c>
      <c r="K166" s="169"/>
      <c r="L166" s="169"/>
    </row>
    <row r="167" ht="15.75" customHeight="1">
      <c r="J167" s="2">
        <f>293-404</f>
        <v>-111</v>
      </c>
      <c r="K167" s="169"/>
      <c r="L167" s="169"/>
    </row>
    <row r="168" ht="15.75" customHeight="1">
      <c r="J168" s="2">
        <f>111*2</f>
        <v>222</v>
      </c>
      <c r="K168" s="169"/>
      <c r="L168" s="169"/>
    </row>
    <row r="169" ht="15.75" customHeight="1">
      <c r="K169" s="169"/>
      <c r="L169" s="169"/>
    </row>
    <row r="170" ht="15.75" customHeight="1">
      <c r="J170" s="2">
        <f>289-367</f>
        <v>-78</v>
      </c>
      <c r="K170" s="169"/>
      <c r="L170" s="169"/>
    </row>
    <row r="171" ht="15.75" customHeight="1">
      <c r="J171" s="2">
        <f>889-367</f>
        <v>522</v>
      </c>
      <c r="K171" s="169"/>
      <c r="L171" s="169"/>
    </row>
    <row r="172" ht="15.75" customHeight="1">
      <c r="J172" s="2">
        <f>32*32</f>
        <v>1024</v>
      </c>
      <c r="K172" s="169"/>
      <c r="L172" s="169"/>
    </row>
    <row r="173" ht="15.75" customHeight="1">
      <c r="J173" s="2">
        <f>32*23</f>
        <v>736</v>
      </c>
      <c r="K173" s="169"/>
      <c r="L173" s="169"/>
    </row>
    <row r="174" ht="15.75" customHeight="1">
      <c r="L174" s="169"/>
    </row>
    <row r="175" ht="15.75" customHeight="1">
      <c r="J175" s="2">
        <v>235.0</v>
      </c>
      <c r="K175" s="169">
        <f>SQRTPI(J175)</f>
        <v>27.17120302</v>
      </c>
      <c r="L175" s="169"/>
    </row>
    <row r="176" ht="15.75" customHeight="1">
      <c r="K176" s="169">
        <f>J175*J175</f>
        <v>55225</v>
      </c>
      <c r="L176" s="169"/>
      <c r="N176" s="2" t="s">
        <v>69</v>
      </c>
    </row>
    <row r="177" ht="15.75" customHeight="1">
      <c r="K177" s="169">
        <f>318*813</f>
        <v>258534</v>
      </c>
      <c r="L177" s="169"/>
    </row>
    <row r="178" ht="15.75" customHeight="1">
      <c r="K178" s="169"/>
      <c r="L178" s="169"/>
    </row>
    <row r="179" ht="15.75" customHeight="1">
      <c r="I179" s="2">
        <f>SQRTPI(J175)*0.1233211111</f>
        <v>3.350782946</v>
      </c>
      <c r="K179" s="169"/>
      <c r="L179" s="169"/>
    </row>
    <row r="180" ht="15.75" customHeight="1">
      <c r="J180" s="2">
        <f>293-235</f>
        <v>58</v>
      </c>
      <c r="K180" s="169"/>
      <c r="L180" s="169"/>
    </row>
    <row r="181" ht="15.75" customHeight="1">
      <c r="J181" s="2">
        <f>58*2</f>
        <v>116</v>
      </c>
      <c r="K181" s="169"/>
      <c r="L181" s="169"/>
    </row>
    <row r="182" ht="15.75" customHeight="1">
      <c r="K182" s="169"/>
      <c r="L182" s="169"/>
    </row>
    <row r="183" ht="15.75" customHeight="1">
      <c r="J183" s="2">
        <f>946-367</f>
        <v>579</v>
      </c>
      <c r="K183" s="169"/>
      <c r="L183" s="169"/>
    </row>
    <row r="184" ht="15.75" customHeight="1">
      <c r="J184" s="2">
        <f>364-46</f>
        <v>318</v>
      </c>
      <c r="K184" s="169"/>
      <c r="L184" s="169"/>
    </row>
    <row r="185" ht="15.75" customHeight="1">
      <c r="J185" s="2">
        <f>31*31</f>
        <v>961</v>
      </c>
      <c r="K185" s="169"/>
      <c r="L185" s="169"/>
    </row>
    <row r="186" ht="15.75" customHeight="1">
      <c r="J186" s="2">
        <f>70*70</f>
        <v>4900</v>
      </c>
      <c r="K186" s="169"/>
      <c r="L186" s="169"/>
    </row>
    <row r="187" ht="15.75" customHeight="1">
      <c r="L187" s="169"/>
    </row>
    <row r="188" ht="15.75" customHeight="1">
      <c r="J188" s="2">
        <v>824.0</v>
      </c>
      <c r="K188" s="169">
        <f>SQRTPI(J188)</f>
        <v>50.87899711</v>
      </c>
      <c r="L188" s="169"/>
    </row>
    <row r="189" ht="15.75" customHeight="1">
      <c r="K189" s="169">
        <f>J188*J188</f>
        <v>678976</v>
      </c>
      <c r="L189" s="169"/>
    </row>
    <row r="190" ht="15.75" customHeight="1">
      <c r="K190" s="169">
        <f>318*813</f>
        <v>258534</v>
      </c>
      <c r="L190" s="169"/>
    </row>
    <row r="191" ht="15.75" customHeight="1">
      <c r="K191" s="169"/>
      <c r="L191" s="169"/>
    </row>
    <row r="192" ht="15.75" customHeight="1">
      <c r="I192" s="2">
        <f>SQRTPI(J188)*0.1233211111</f>
        <v>6.274454455</v>
      </c>
      <c r="K192" s="169"/>
      <c r="L192" s="169"/>
    </row>
    <row r="193" ht="15.75" customHeight="1">
      <c r="J193" s="2">
        <f>824-J196235</f>
        <v>824</v>
      </c>
      <c r="K193" s="169"/>
      <c r="L193" s="169"/>
    </row>
    <row r="194" ht="15.75" customHeight="1">
      <c r="J194" s="2">
        <f>589*2</f>
        <v>1178</v>
      </c>
      <c r="K194" s="169"/>
      <c r="L194" s="169"/>
    </row>
    <row r="195" ht="15.75" customHeight="1">
      <c r="K195" s="169"/>
      <c r="L195" s="169"/>
    </row>
    <row r="196" ht="15.75" customHeight="1">
      <c r="J196" s="2">
        <f>946-455</f>
        <v>491</v>
      </c>
      <c r="K196" s="169"/>
      <c r="L196" s="169"/>
    </row>
    <row r="197" ht="15.75" customHeight="1">
      <c r="J197" s="2">
        <f>364-46</f>
        <v>318</v>
      </c>
      <c r="K197" s="169"/>
      <c r="L197" s="169"/>
    </row>
    <row r="198" ht="15.75" customHeight="1">
      <c r="J198" s="2">
        <f>70*70</f>
        <v>4900</v>
      </c>
      <c r="K198" s="169"/>
      <c r="L198" s="169"/>
    </row>
    <row r="199" ht="15.75" customHeight="1">
      <c r="J199" s="2">
        <f>70*7</f>
        <v>490</v>
      </c>
      <c r="K199" s="169"/>
      <c r="L199" s="169"/>
    </row>
    <row r="200" ht="15.75" customHeight="1">
      <c r="L200" s="169"/>
    </row>
    <row r="201" ht="15.75" customHeight="1">
      <c r="J201" s="2">
        <v>963.0</v>
      </c>
      <c r="K201" s="169">
        <f>SQRTPI(J201)</f>
        <v>55.00321559</v>
      </c>
      <c r="L201" s="169"/>
    </row>
    <row r="202" ht="15.75" customHeight="1">
      <c r="K202" s="169">
        <f>J201*J201</f>
        <v>927369</v>
      </c>
      <c r="L202" s="169"/>
    </row>
    <row r="203" ht="15.75" customHeight="1">
      <c r="K203" s="169">
        <f>318*813</f>
        <v>258534</v>
      </c>
      <c r="L203" s="169"/>
    </row>
    <row r="204" ht="15.75" customHeight="1">
      <c r="K204" s="169"/>
      <c r="L204" s="169"/>
    </row>
    <row r="205" ht="15.75" customHeight="1">
      <c r="I205" s="2">
        <f>SQRTPI(J201)*0.1233211111</f>
        <v>6.783057661</v>
      </c>
      <c r="K205" s="169"/>
      <c r="L205" s="169"/>
    </row>
    <row r="206" ht="15.75" customHeight="1">
      <c r="J206" s="2">
        <f>455-661</f>
        <v>-206</v>
      </c>
      <c r="K206" s="169"/>
      <c r="L206" s="169"/>
    </row>
    <row r="207" ht="15.75" customHeight="1">
      <c r="J207" s="2">
        <f>206*2</f>
        <v>412</v>
      </c>
      <c r="K207" s="169"/>
      <c r="L207" s="169"/>
    </row>
    <row r="208" ht="15.75" customHeight="1">
      <c r="K208" s="169"/>
      <c r="L208" s="169"/>
    </row>
    <row r="209" ht="15.75" customHeight="1">
      <c r="J209" s="2">
        <f>963-824</f>
        <v>139</v>
      </c>
      <c r="K209" s="169"/>
      <c r="L209" s="169"/>
    </row>
    <row r="210" ht="15.75" customHeight="1">
      <c r="J210" s="2">
        <f>455-261</f>
        <v>194</v>
      </c>
      <c r="K210" s="169"/>
      <c r="L210" s="169"/>
    </row>
    <row r="211" ht="15.75" customHeight="1">
      <c r="J211" s="2">
        <f>50*50</f>
        <v>2500</v>
      </c>
      <c r="K211" s="169"/>
      <c r="L211" s="169"/>
    </row>
    <row r="212" ht="15.75" customHeight="1">
      <c r="J212" s="2">
        <f>50*5</f>
        <v>250</v>
      </c>
      <c r="K212" s="169"/>
      <c r="L212" s="169"/>
    </row>
    <row r="213" ht="15.75" customHeight="1">
      <c r="L213" s="169"/>
    </row>
    <row r="214" ht="15.75" customHeight="1">
      <c r="J214" s="2">
        <v>959.0</v>
      </c>
      <c r="K214" s="169">
        <f>SQRTPI(J214)</f>
        <v>54.88886367</v>
      </c>
      <c r="L214" s="169"/>
    </row>
    <row r="215" ht="15.75" customHeight="1">
      <c r="K215" s="169">
        <f>J214*J214</f>
        <v>919681</v>
      </c>
      <c r="L215" s="169"/>
    </row>
    <row r="216" ht="15.75" customHeight="1">
      <c r="K216" s="169">
        <f>318*813</f>
        <v>258534</v>
      </c>
      <c r="L216" s="169"/>
    </row>
    <row r="217" ht="15.75" customHeight="1">
      <c r="K217" s="169"/>
      <c r="L217" s="169"/>
    </row>
    <row r="218" ht="15.75" customHeight="1">
      <c r="I218" s="2">
        <f>SQRTPI(J214)*0.1233211111</f>
        <v>6.768955655</v>
      </c>
      <c r="K218" s="169"/>
      <c r="L218" s="169"/>
    </row>
    <row r="219" ht="15.75" customHeight="1">
      <c r="J219" s="2">
        <f>655-661</f>
        <v>-6</v>
      </c>
      <c r="K219" s="169"/>
      <c r="L219" s="169"/>
    </row>
    <row r="220" ht="15.75" customHeight="1">
      <c r="J220" s="2">
        <f>6*2</f>
        <v>12</v>
      </c>
      <c r="K220" s="169"/>
      <c r="L220" s="169"/>
    </row>
    <row r="221" ht="15.75" customHeight="1">
      <c r="K221" s="169"/>
      <c r="L221" s="169"/>
    </row>
    <row r="222" ht="15.75" customHeight="1">
      <c r="J222" s="2">
        <f>963-959</f>
        <v>4</v>
      </c>
      <c r="K222" s="169"/>
      <c r="L222" s="169"/>
    </row>
    <row r="223" ht="15.75" customHeight="1">
      <c r="J223" s="2">
        <f>661-625</f>
        <v>36</v>
      </c>
      <c r="K223" s="169"/>
      <c r="L223" s="169"/>
    </row>
    <row r="224" ht="15.75" customHeight="1">
      <c r="J224" s="2">
        <f>16*16</f>
        <v>256</v>
      </c>
      <c r="K224" s="169"/>
      <c r="L224" s="169"/>
    </row>
    <row r="225" ht="15.75" customHeight="1">
      <c r="J225" s="2">
        <f>16*61</f>
        <v>976</v>
      </c>
      <c r="K225" s="169"/>
      <c r="L225" s="169"/>
    </row>
    <row r="226" ht="15.75" customHeight="1">
      <c r="L226" s="169"/>
    </row>
    <row r="227" ht="15.75" customHeight="1">
      <c r="J227" s="2">
        <v>206.0</v>
      </c>
      <c r="K227" s="169">
        <f>SQRTPI(J227)</f>
        <v>25.43949855</v>
      </c>
      <c r="L227" s="169"/>
    </row>
    <row r="228" ht="15.75" customHeight="1">
      <c r="K228" s="169">
        <f>J227*J227</f>
        <v>42436</v>
      </c>
      <c r="L228" s="169"/>
    </row>
    <row r="229" ht="15.75" customHeight="1">
      <c r="K229" s="169">
        <f>318*813</f>
        <v>258534</v>
      </c>
      <c r="L229" s="169"/>
    </row>
    <row r="230" ht="15.75" customHeight="1">
      <c r="K230" s="169"/>
      <c r="L230" s="169"/>
    </row>
    <row r="231" ht="15.75" customHeight="1">
      <c r="I231" s="2">
        <f>SQRTPI(J227)*0.1233211111</f>
        <v>3.137227227</v>
      </c>
      <c r="K231" s="169"/>
      <c r="L231" s="169"/>
    </row>
    <row r="232" ht="15.75" customHeight="1">
      <c r="J232" s="2">
        <f>655-277</f>
        <v>378</v>
      </c>
      <c r="K232" s="169"/>
      <c r="L232" s="169"/>
    </row>
    <row r="233" ht="15.75" customHeight="1">
      <c r="J233" s="2">
        <f>J232*2</f>
        <v>756</v>
      </c>
      <c r="K233" s="169"/>
      <c r="L233" s="169"/>
    </row>
    <row r="234" ht="15.75" customHeight="1">
      <c r="K234" s="169"/>
      <c r="L234" s="169"/>
    </row>
    <row r="235" ht="15.75" customHeight="1">
      <c r="J235" s="2">
        <f>402-959</f>
        <v>-557</v>
      </c>
      <c r="K235" s="169"/>
      <c r="L235" s="169"/>
    </row>
    <row r="236" ht="15.75" customHeight="1">
      <c r="J236" s="2">
        <f>277-625</f>
        <v>-348</v>
      </c>
      <c r="K236" s="169"/>
      <c r="L236" s="169"/>
    </row>
    <row r="237" ht="15.75" customHeight="1">
      <c r="J237" s="2">
        <f>30*30</f>
        <v>900</v>
      </c>
      <c r="K237" s="169"/>
      <c r="L237" s="169"/>
    </row>
    <row r="238" ht="15.75" customHeight="1">
      <c r="J238" s="2">
        <f>16*61</f>
        <v>976</v>
      </c>
      <c r="K238" s="169"/>
      <c r="L238" s="169"/>
    </row>
    <row r="239" ht="15.75" customHeight="1">
      <c r="J239" s="2">
        <v>818.0</v>
      </c>
      <c r="K239" s="169">
        <f>SQRTPI(J239)</f>
        <v>50.6934196</v>
      </c>
      <c r="L239" s="169"/>
    </row>
    <row r="240" ht="15.75" customHeight="1">
      <c r="K240" s="169">
        <f>J239*J239</f>
        <v>669124</v>
      </c>
      <c r="L240" s="169"/>
    </row>
    <row r="241" ht="15.75" customHeight="1">
      <c r="K241" s="169">
        <f>318*813</f>
        <v>258534</v>
      </c>
      <c r="L241" s="169"/>
    </row>
    <row r="242" ht="15.75" customHeight="1">
      <c r="K242" s="169"/>
      <c r="L242" s="169"/>
    </row>
    <row r="243" ht="15.75" customHeight="1">
      <c r="I243" s="2">
        <f>SQRTPI(J239)*0.1233211111</f>
        <v>6.25156883</v>
      </c>
      <c r="K243" s="169"/>
      <c r="L243" s="169"/>
    </row>
    <row r="244" ht="15.75" customHeight="1">
      <c r="J244" s="2">
        <f>283-227</f>
        <v>56</v>
      </c>
      <c r="K244" s="169"/>
      <c r="L244" s="169"/>
    </row>
    <row r="245" ht="15.75" customHeight="1">
      <c r="J245" s="2">
        <f>J244*2</f>
        <v>112</v>
      </c>
      <c r="K245" s="169"/>
      <c r="L245" s="169"/>
    </row>
    <row r="246" ht="15.75" customHeight="1">
      <c r="K246" s="169"/>
      <c r="L246" s="169"/>
    </row>
    <row r="247" ht="15.75" customHeight="1">
      <c r="J247" s="2">
        <f>402-818</f>
        <v>-416</v>
      </c>
      <c r="K247" s="169"/>
      <c r="L247" s="169"/>
    </row>
    <row r="248" ht="15.75" customHeight="1">
      <c r="J248" s="2">
        <f>277-625</f>
        <v>-348</v>
      </c>
      <c r="K248" s="169"/>
      <c r="L248" s="169"/>
    </row>
    <row r="249" ht="15.75" customHeight="1">
      <c r="J249" s="2">
        <f>26*26</f>
        <v>676</v>
      </c>
      <c r="K249" s="169"/>
      <c r="L249" s="169"/>
    </row>
    <row r="250" ht="15.75" customHeight="1">
      <c r="J250" s="2">
        <f>26*62</f>
        <v>1612</v>
      </c>
      <c r="K250" s="169"/>
      <c r="L250" s="169"/>
    </row>
    <row r="251" ht="15.75" customHeight="1">
      <c r="L251" s="169"/>
    </row>
    <row r="252" ht="15.75" customHeight="1">
      <c r="J252" s="2">
        <v>142.0</v>
      </c>
      <c r="K252" s="169">
        <f>SQRTPI(J252)</f>
        <v>21.12122527</v>
      </c>
      <c r="L252" s="169"/>
    </row>
    <row r="253" ht="15.75" customHeight="1">
      <c r="K253" s="169">
        <f>J252*J252</f>
        <v>20164</v>
      </c>
      <c r="L253" s="169"/>
    </row>
    <row r="254" ht="15.75" customHeight="1">
      <c r="K254" s="169">
        <f>318*813</f>
        <v>258534</v>
      </c>
      <c r="L254" s="169"/>
    </row>
    <row r="255" ht="15.75" customHeight="1">
      <c r="K255" s="169"/>
      <c r="L255" s="169"/>
    </row>
    <row r="256" ht="15.75" customHeight="1">
      <c r="I256" s="2">
        <f>SQRTPI(J252)*0.1233211111</f>
        <v>2.604692968</v>
      </c>
      <c r="K256" s="169"/>
      <c r="L256" s="169"/>
    </row>
    <row r="257" ht="15.75" customHeight="1">
      <c r="J257" s="2">
        <f>283-968</f>
        <v>-685</v>
      </c>
      <c r="K257" s="169"/>
      <c r="L257" s="169"/>
    </row>
    <row r="258" ht="15.75" customHeight="1">
      <c r="J258" s="2">
        <f>J257*2</f>
        <v>-1370</v>
      </c>
      <c r="K258" s="169"/>
      <c r="L258" s="169"/>
    </row>
    <row r="259" ht="15.75" customHeight="1">
      <c r="K259" s="169"/>
      <c r="L259" s="169"/>
    </row>
    <row r="260" ht="15.75" customHeight="1">
      <c r="J260" s="2">
        <f>818-142</f>
        <v>676</v>
      </c>
      <c r="K260" s="169"/>
      <c r="L260" s="169"/>
    </row>
    <row r="261" ht="15.75" customHeight="1">
      <c r="J261" s="2">
        <f>277-625</f>
        <v>-348</v>
      </c>
      <c r="K261" s="169"/>
      <c r="L261" s="169"/>
    </row>
    <row r="262" ht="15.75" customHeight="1">
      <c r="J262" s="2">
        <f>55*55</f>
        <v>3025</v>
      </c>
      <c r="K262" s="169"/>
      <c r="L262" s="169"/>
    </row>
    <row r="263" ht="15.75" customHeight="1">
      <c r="J263" s="2">
        <f>55*25</f>
        <v>1375</v>
      </c>
      <c r="K263" s="169"/>
      <c r="L263" s="169"/>
    </row>
    <row r="264" ht="15.75" customHeight="1">
      <c r="L264" s="169"/>
    </row>
    <row r="265" ht="15.75" customHeight="1">
      <c r="J265" s="2">
        <v>802.0</v>
      </c>
      <c r="K265" s="169">
        <f>SQRTPI(J265)</f>
        <v>50.19519208</v>
      </c>
      <c r="L265" s="169"/>
    </row>
    <row r="266" ht="15.75" customHeight="1">
      <c r="K266" s="169">
        <f>J265*J265</f>
        <v>643204</v>
      </c>
      <c r="L266" s="169"/>
    </row>
    <row r="267" ht="15.75" customHeight="1">
      <c r="K267" s="169">
        <f>318*813</f>
        <v>258534</v>
      </c>
      <c r="L267" s="169"/>
    </row>
    <row r="268" ht="15.75" customHeight="1">
      <c r="K268" s="169"/>
      <c r="L268" s="169"/>
    </row>
    <row r="269" ht="15.75" customHeight="1">
      <c r="I269" s="2">
        <f>SQRTPI(J265)*0.1233211111</f>
        <v>6.190126859</v>
      </c>
      <c r="K269" s="169"/>
      <c r="L269" s="169"/>
    </row>
    <row r="270" ht="15.75" customHeight="1">
      <c r="J270" s="2">
        <f>859-968</f>
        <v>-109</v>
      </c>
      <c r="K270" s="169"/>
      <c r="L270" s="169"/>
    </row>
    <row r="271" ht="15.75" customHeight="1">
      <c r="J271" s="2">
        <f>J270*2</f>
        <v>-218</v>
      </c>
      <c r="K271" s="169"/>
      <c r="L271" s="169"/>
    </row>
    <row r="272" ht="15.75" customHeight="1">
      <c r="K272" s="169"/>
      <c r="L272" s="169"/>
    </row>
    <row r="273" ht="15.75" customHeight="1">
      <c r="J273" s="2">
        <f>802-142</f>
        <v>660</v>
      </c>
      <c r="K273" s="169"/>
      <c r="L273" s="169"/>
    </row>
    <row r="274" ht="15.75" customHeight="1">
      <c r="J274" s="2">
        <f>277-625</f>
        <v>-348</v>
      </c>
      <c r="K274" s="169"/>
      <c r="L274" s="169"/>
    </row>
    <row r="275" ht="15.75" customHeight="1">
      <c r="J275" s="2">
        <f>32*32</f>
        <v>1024</v>
      </c>
      <c r="K275" s="169"/>
      <c r="L275" s="169"/>
    </row>
    <row r="276" ht="15.75" customHeight="1">
      <c r="J276" s="2">
        <f>32*23</f>
        <v>736</v>
      </c>
      <c r="K276" s="169"/>
      <c r="L276" s="169"/>
    </row>
    <row r="277" ht="15.75" customHeight="1">
      <c r="L277" s="169"/>
    </row>
    <row r="278" ht="15.75" customHeight="1">
      <c r="J278" s="2">
        <v>10.0</v>
      </c>
      <c r="K278" s="169">
        <f>SQRTPI(J278)</f>
        <v>5.604991216</v>
      </c>
      <c r="L278" s="169"/>
    </row>
    <row r="279" ht="15.75" customHeight="1">
      <c r="K279" s="169">
        <f>J278*J278</f>
        <v>100</v>
      </c>
      <c r="L279" s="169"/>
    </row>
    <row r="280" ht="15.75" customHeight="1">
      <c r="K280" s="169">
        <f>318*813</f>
        <v>258534</v>
      </c>
      <c r="L280" s="169"/>
    </row>
    <row r="281" ht="15.75" customHeight="1">
      <c r="K281" s="169"/>
      <c r="L281" s="169"/>
    </row>
    <row r="282" ht="15.75" customHeight="1">
      <c r="I282" s="2">
        <f>SQRTPI(J278)*0.1233211111</f>
        <v>0.6912137445</v>
      </c>
      <c r="K282" s="169"/>
      <c r="L282" s="169"/>
    </row>
    <row r="283" ht="15.75" customHeight="1">
      <c r="J283" s="2">
        <f>859-968</f>
        <v>-109</v>
      </c>
      <c r="K283" s="169"/>
      <c r="L283" s="169"/>
    </row>
    <row r="284" ht="15.75" customHeight="1">
      <c r="J284" s="2">
        <f>J283*2</f>
        <v>-218</v>
      </c>
      <c r="K284" s="169"/>
      <c r="L284" s="169"/>
    </row>
    <row r="285" ht="15.75" customHeight="1">
      <c r="K285" s="169"/>
      <c r="L285" s="169"/>
    </row>
    <row r="286" ht="15.75" customHeight="1">
      <c r="J286" s="2">
        <f>802-142</f>
        <v>660</v>
      </c>
      <c r="K286" s="169"/>
      <c r="L286" s="169"/>
    </row>
    <row r="287" ht="15.75" customHeight="1">
      <c r="J287" s="2">
        <f>277-625</f>
        <v>-348</v>
      </c>
      <c r="K287" s="169"/>
      <c r="L287" s="169"/>
    </row>
    <row r="288" ht="15.75" customHeight="1">
      <c r="J288" s="2">
        <f>32*32</f>
        <v>1024</v>
      </c>
      <c r="K288" s="169"/>
      <c r="L288" s="169"/>
    </row>
    <row r="289" ht="15.75" customHeight="1">
      <c r="J289" s="2">
        <f>32*23</f>
        <v>736</v>
      </c>
      <c r="K289" s="169"/>
      <c r="L289" s="169"/>
    </row>
    <row r="290" ht="15.75" customHeight="1">
      <c r="L290" s="169"/>
    </row>
    <row r="291" ht="15.75" customHeight="1">
      <c r="J291" s="2">
        <v>969.0</v>
      </c>
      <c r="K291" s="169">
        <f>SQRTPI(J291)</f>
        <v>55.1742991</v>
      </c>
      <c r="L291" s="169"/>
    </row>
    <row r="292" ht="15.75" customHeight="1">
      <c r="K292" s="169">
        <f>J291*J291</f>
        <v>938961</v>
      </c>
      <c r="L292" s="169"/>
    </row>
    <row r="293" ht="15.75" customHeight="1">
      <c r="K293" s="169">
        <f>318*813</f>
        <v>258534</v>
      </c>
      <c r="L293" s="169"/>
    </row>
    <row r="294" ht="15.75" customHeight="1">
      <c r="K294" s="169"/>
      <c r="L294" s="169"/>
    </row>
    <row r="295" ht="15.75" customHeight="1">
      <c r="I295" s="2">
        <f>SQRTPI(J291)*0.1233211111</f>
        <v>6.804155869</v>
      </c>
      <c r="K295" s="169"/>
      <c r="L295" s="169"/>
    </row>
    <row r="296" ht="15.75" customHeight="1">
      <c r="J296" s="2">
        <f>869-10</f>
        <v>859</v>
      </c>
      <c r="K296" s="169"/>
      <c r="L296" s="169"/>
    </row>
    <row r="297" ht="15.75" customHeight="1">
      <c r="J297" s="2">
        <f>J296*2</f>
        <v>1718</v>
      </c>
      <c r="K297" s="169"/>
      <c r="L297" s="169"/>
    </row>
    <row r="298" ht="15.75" customHeight="1">
      <c r="K298" s="169"/>
      <c r="L298" s="169"/>
    </row>
    <row r="299" ht="15.75" customHeight="1">
      <c r="J299" s="2">
        <f>869-245</f>
        <v>624</v>
      </c>
      <c r="K299" s="169"/>
      <c r="L299" s="169"/>
    </row>
    <row r="300" ht="15.75" customHeight="1">
      <c r="J300" s="2">
        <f>277-625</f>
        <v>-348</v>
      </c>
      <c r="K300" s="169"/>
      <c r="L300" s="169"/>
    </row>
    <row r="301" ht="15.75" customHeight="1">
      <c r="J301" s="2">
        <f>64*64</f>
        <v>4096</v>
      </c>
      <c r="K301" s="169"/>
      <c r="L301" s="169"/>
    </row>
    <row r="302" ht="15.75" customHeight="1">
      <c r="J302" s="2">
        <f>64*46</f>
        <v>2944</v>
      </c>
      <c r="K302" s="169"/>
      <c r="L302" s="169"/>
    </row>
    <row r="303" ht="15.75" customHeight="1">
      <c r="L303" s="169"/>
    </row>
    <row r="304" ht="15.75" customHeight="1">
      <c r="J304" s="2">
        <v>547.0</v>
      </c>
      <c r="K304" s="169">
        <f>SQRTPI(J304)</f>
        <v>41.45420584</v>
      </c>
      <c r="L304" s="169"/>
    </row>
    <row r="305" ht="15.75" customHeight="1">
      <c r="K305" s="169">
        <f>J304*J304</f>
        <v>299209</v>
      </c>
      <c r="L305" s="169"/>
    </row>
    <row r="306" ht="15.75" customHeight="1">
      <c r="K306" s="169">
        <f>318*813</f>
        <v>258534</v>
      </c>
      <c r="L306" s="169"/>
    </row>
    <row r="307" ht="15.75" customHeight="1">
      <c r="K307" s="169"/>
      <c r="L307" s="169"/>
    </row>
    <row r="308" ht="15.75" customHeight="1">
      <c r="I308" s="2">
        <f>SQRTPI(J304)*0.1233211111</f>
        <v>5.112178723</v>
      </c>
      <c r="K308" s="169"/>
      <c r="L308" s="169"/>
    </row>
    <row r="309" ht="15.75" customHeight="1">
      <c r="J309" s="2">
        <f>869-547</f>
        <v>322</v>
      </c>
      <c r="K309" s="169"/>
      <c r="L309" s="169"/>
    </row>
    <row r="310" ht="15.75" customHeight="1">
      <c r="J310" s="2">
        <f>J309*2</f>
        <v>644</v>
      </c>
      <c r="K310" s="169"/>
      <c r="L310" s="169"/>
    </row>
    <row r="311" ht="15.75" customHeight="1">
      <c r="K311" s="169"/>
      <c r="L311" s="169"/>
    </row>
    <row r="312" ht="15.75" customHeight="1">
      <c r="J312" s="2">
        <f t="shared" ref="J312:J313" si="27">869-733</f>
        <v>136</v>
      </c>
      <c r="K312" s="169"/>
      <c r="L312" s="169"/>
    </row>
    <row r="313" ht="15.75" customHeight="1">
      <c r="J313" s="2">
        <f t="shared" si="27"/>
        <v>136</v>
      </c>
      <c r="K313" s="169"/>
      <c r="L313" s="169"/>
    </row>
    <row r="314" ht="15.75" customHeight="1">
      <c r="J314" s="2">
        <f>70*70</f>
        <v>4900</v>
      </c>
      <c r="K314" s="169"/>
      <c r="L314" s="169"/>
    </row>
    <row r="315" ht="15.75" customHeight="1">
      <c r="J315" s="2">
        <f>64*46</f>
        <v>2944</v>
      </c>
      <c r="K315" s="169"/>
      <c r="L315" s="169"/>
    </row>
    <row r="316" ht="15.75" customHeight="1">
      <c r="L316" s="169"/>
    </row>
    <row r="317" ht="15.75" customHeight="1">
      <c r="J317" s="2">
        <v>719.0</v>
      </c>
      <c r="K317" s="169">
        <f>SQRTPI(J317)</f>
        <v>47.52688837</v>
      </c>
      <c r="L317" s="169"/>
    </row>
    <row r="318" ht="15.75" customHeight="1">
      <c r="K318" s="169">
        <f>J317*J317</f>
        <v>516961</v>
      </c>
      <c r="L318" s="169"/>
    </row>
    <row r="319" ht="15.75" customHeight="1">
      <c r="K319" s="169">
        <f>318*813</f>
        <v>258534</v>
      </c>
      <c r="L319" s="169"/>
    </row>
    <row r="320" ht="15.75" customHeight="1">
      <c r="K320" s="169"/>
      <c r="L320" s="169"/>
    </row>
    <row r="321" ht="15.75" customHeight="1">
      <c r="I321" s="2">
        <f>SQRTPI(J317)*0.1233211111</f>
        <v>5.861068681</v>
      </c>
      <c r="K321" s="169"/>
      <c r="L321" s="169"/>
    </row>
    <row r="322" ht="15.75" customHeight="1">
      <c r="J322" s="2">
        <f>719-547</f>
        <v>172</v>
      </c>
      <c r="K322" s="169"/>
      <c r="L322" s="169"/>
    </row>
    <row r="323" ht="15.75" customHeight="1">
      <c r="J323" s="2">
        <f>J322*2</f>
        <v>344</v>
      </c>
      <c r="K323" s="169"/>
      <c r="L323" s="169"/>
    </row>
    <row r="324" ht="15.75" customHeight="1">
      <c r="K324" s="169"/>
      <c r="L324" s="169"/>
    </row>
    <row r="325" ht="15.75" customHeight="1">
      <c r="J325" s="2">
        <f>723-681</f>
        <v>42</v>
      </c>
      <c r="K325" s="169"/>
      <c r="L325" s="169"/>
    </row>
    <row r="326" ht="15.75" customHeight="1">
      <c r="J326" s="2">
        <f>869-733</f>
        <v>136</v>
      </c>
      <c r="K326" s="169"/>
      <c r="L326" s="169"/>
    </row>
    <row r="327" ht="15.75" customHeight="1">
      <c r="J327" s="2">
        <f>52*52</f>
        <v>2704</v>
      </c>
      <c r="K327" s="169"/>
      <c r="L327" s="169"/>
    </row>
    <row r="328" ht="15.75" customHeight="1">
      <c r="J328" s="2">
        <f>64*46</f>
        <v>2944</v>
      </c>
      <c r="K328" s="169"/>
      <c r="L328" s="169"/>
    </row>
    <row r="329" ht="15.75" customHeight="1">
      <c r="L329" s="169"/>
    </row>
    <row r="330" ht="15.75" customHeight="1">
      <c r="L330" s="169"/>
    </row>
    <row r="331" ht="15.75" customHeight="1">
      <c r="L331" s="169"/>
    </row>
    <row r="332" ht="15.75" customHeight="1">
      <c r="L332" s="169"/>
    </row>
    <row r="333" ht="15.75" customHeight="1">
      <c r="L333" s="169"/>
    </row>
    <row r="334" ht="15.75" customHeight="1">
      <c r="L334" s="169"/>
    </row>
    <row r="335" ht="15.75" customHeight="1">
      <c r="L335" s="169"/>
    </row>
    <row r="336" ht="15.75" customHeight="1">
      <c r="L336" s="169"/>
    </row>
    <row r="337" ht="15.75" customHeight="1">
      <c r="L337" s="169"/>
    </row>
    <row r="338" ht="15.75" customHeight="1">
      <c r="L338" s="169"/>
    </row>
    <row r="339" ht="15.75" customHeight="1">
      <c r="L339" s="169"/>
    </row>
    <row r="340" ht="15.75" customHeight="1">
      <c r="L340" s="169"/>
    </row>
    <row r="341" ht="15.75" customHeight="1">
      <c r="L341" s="169"/>
    </row>
    <row r="342" ht="15.75" customHeight="1">
      <c r="L342" s="169"/>
    </row>
    <row r="343" ht="15.75" customHeight="1">
      <c r="L343" s="169"/>
    </row>
    <row r="344" ht="15.75" customHeight="1">
      <c r="L344" s="169"/>
    </row>
    <row r="345" ht="15.75" customHeight="1">
      <c r="L345" s="169"/>
    </row>
    <row r="346" ht="15.75" customHeight="1">
      <c r="L346" s="169"/>
    </row>
    <row r="347" ht="15.75" customHeight="1">
      <c r="L347" s="169"/>
    </row>
    <row r="348" ht="15.75" customHeight="1">
      <c r="L348" s="169"/>
    </row>
    <row r="349" ht="15.75" customHeight="1">
      <c r="L349" s="169"/>
    </row>
    <row r="350" ht="15.75" customHeight="1">
      <c r="L350" s="169"/>
    </row>
    <row r="351" ht="15.75" customHeight="1">
      <c r="L351" s="169"/>
    </row>
    <row r="352" ht="15.75" customHeight="1">
      <c r="L352" s="169"/>
    </row>
    <row r="353" ht="15.75" customHeight="1">
      <c r="L353" s="169"/>
    </row>
    <row r="354" ht="15.75" customHeight="1">
      <c r="L354" s="169"/>
    </row>
    <row r="355" ht="15.75" customHeight="1">
      <c r="L355" s="169"/>
    </row>
    <row r="356" ht="15.75" customHeight="1">
      <c r="L356" s="169"/>
    </row>
    <row r="357" ht="15.75" customHeight="1">
      <c r="L357" s="169"/>
    </row>
    <row r="358" ht="15.75" customHeight="1">
      <c r="L358" s="169"/>
    </row>
    <row r="359" ht="15.75" customHeight="1">
      <c r="L359" s="169"/>
    </row>
    <row r="360" ht="15.75" customHeight="1">
      <c r="L360" s="169"/>
    </row>
    <row r="361" ht="15.75" customHeight="1">
      <c r="L361" s="169"/>
    </row>
    <row r="362" ht="15.75" customHeight="1">
      <c r="L362" s="169"/>
    </row>
    <row r="363" ht="15.75" customHeight="1">
      <c r="L363" s="169"/>
    </row>
    <row r="364" ht="15.75" customHeight="1">
      <c r="L364" s="169"/>
    </row>
    <row r="365" ht="15.75" customHeight="1">
      <c r="L365" s="169"/>
    </row>
    <row r="366" ht="15.75" customHeight="1">
      <c r="L366" s="169"/>
    </row>
    <row r="367" ht="15.75" customHeight="1">
      <c r="L367" s="169"/>
    </row>
    <row r="368" ht="15.75" customHeight="1">
      <c r="L368" s="169"/>
    </row>
    <row r="369" ht="15.75" customHeight="1">
      <c r="L369" s="169"/>
    </row>
    <row r="370" ht="15.75" customHeight="1">
      <c r="L370" s="169"/>
    </row>
    <row r="371" ht="15.75" customHeight="1">
      <c r="L371" s="169"/>
    </row>
    <row r="372" ht="15.75" customHeight="1">
      <c r="L372" s="169"/>
    </row>
    <row r="373" ht="15.75" customHeight="1">
      <c r="L373" s="169"/>
    </row>
    <row r="374" ht="15.75" customHeight="1">
      <c r="L374" s="169"/>
    </row>
    <row r="375" ht="15.75" customHeight="1">
      <c r="L375" s="169"/>
    </row>
    <row r="376" ht="15.75" customHeight="1">
      <c r="L376" s="169"/>
    </row>
    <row r="377" ht="15.75" customHeight="1">
      <c r="L377" s="169"/>
    </row>
    <row r="378" ht="15.75" customHeight="1">
      <c r="L378" s="169"/>
    </row>
    <row r="379" ht="15.75" customHeight="1">
      <c r="L379" s="169"/>
    </row>
    <row r="380" ht="15.75" customHeight="1">
      <c r="L380" s="169"/>
    </row>
    <row r="381" ht="15.75" customHeight="1">
      <c r="L381" s="169"/>
    </row>
    <row r="382" ht="15.75" customHeight="1">
      <c r="L382" s="169"/>
    </row>
    <row r="383" ht="15.75" customHeight="1">
      <c r="L383" s="169"/>
    </row>
    <row r="384" ht="15.75" customHeight="1">
      <c r="K384" s="169"/>
      <c r="L384" s="169"/>
    </row>
    <row r="385" ht="15.75" customHeight="1">
      <c r="K385" s="169"/>
      <c r="L385" s="169"/>
    </row>
    <row r="386" ht="15.75" customHeight="1">
      <c r="K386" s="169"/>
      <c r="L386" s="169"/>
    </row>
    <row r="387" ht="15.75" customHeight="1">
      <c r="K387" s="169"/>
      <c r="L387" s="169"/>
    </row>
    <row r="388" ht="15.75" customHeight="1">
      <c r="K388" s="169"/>
      <c r="L388" s="169"/>
    </row>
    <row r="389" ht="15.75" customHeight="1">
      <c r="K389" s="169"/>
      <c r="L389" s="169"/>
    </row>
    <row r="390" ht="15.75" customHeight="1">
      <c r="K390" s="169"/>
      <c r="L390" s="169"/>
    </row>
    <row r="391" ht="15.75" customHeight="1">
      <c r="K391" s="169"/>
      <c r="L391" s="169"/>
    </row>
    <row r="392" ht="15.75" customHeight="1">
      <c r="K392" s="169"/>
      <c r="L392" s="169"/>
    </row>
    <row r="393" ht="15.75" customHeight="1">
      <c r="K393" s="169"/>
      <c r="L393" s="169"/>
    </row>
    <row r="394" ht="15.75" customHeight="1">
      <c r="K394" s="169"/>
      <c r="L394" s="169"/>
    </row>
    <row r="395" ht="15.75" customHeight="1">
      <c r="K395" s="169"/>
      <c r="L395" s="169"/>
    </row>
    <row r="396" ht="15.75" customHeight="1">
      <c r="K396" s="169"/>
      <c r="L396" s="169"/>
    </row>
    <row r="397" ht="15.75" customHeight="1">
      <c r="K397" s="169"/>
      <c r="L397" s="169"/>
    </row>
    <row r="398" ht="15.75" customHeight="1">
      <c r="K398" s="169"/>
      <c r="L398" s="169"/>
    </row>
    <row r="399" ht="15.75" customHeight="1">
      <c r="K399" s="169"/>
      <c r="L399" s="169"/>
    </row>
    <row r="400" ht="15.75" customHeight="1">
      <c r="K400" s="169"/>
      <c r="L400" s="169"/>
    </row>
    <row r="401" ht="15.75" customHeight="1">
      <c r="K401" s="169"/>
      <c r="L401" s="169"/>
    </row>
    <row r="402" ht="15.75" customHeight="1">
      <c r="K402" s="169"/>
      <c r="L402" s="169"/>
    </row>
    <row r="403" ht="15.75" customHeight="1">
      <c r="K403" s="169"/>
      <c r="L403" s="169"/>
    </row>
    <row r="404" ht="15.75" customHeight="1">
      <c r="K404" s="169"/>
      <c r="L404" s="169"/>
    </row>
    <row r="405" ht="15.75" customHeight="1">
      <c r="K405" s="169"/>
      <c r="L405" s="169"/>
    </row>
    <row r="406" ht="15.75" customHeight="1">
      <c r="K406" s="169"/>
      <c r="L406" s="169"/>
    </row>
    <row r="407" ht="15.75" customHeight="1">
      <c r="K407" s="169"/>
      <c r="L407" s="169"/>
    </row>
    <row r="408" ht="15.75" customHeight="1">
      <c r="K408" s="169"/>
      <c r="L408" s="169"/>
    </row>
    <row r="409" ht="15.75" customHeight="1">
      <c r="K409" s="169"/>
      <c r="L409" s="169"/>
    </row>
    <row r="410" ht="15.75" customHeight="1">
      <c r="K410" s="169"/>
      <c r="L410" s="169"/>
    </row>
    <row r="411" ht="15.75" customHeight="1">
      <c r="K411" s="169"/>
      <c r="L411" s="169"/>
    </row>
    <row r="412" ht="15.75" customHeight="1">
      <c r="K412" s="169"/>
      <c r="L412" s="169"/>
    </row>
    <row r="413" ht="15.75" customHeight="1">
      <c r="K413" s="169"/>
      <c r="L413" s="169"/>
    </row>
    <row r="414" ht="15.75" customHeight="1">
      <c r="K414" s="169"/>
      <c r="L414" s="169"/>
    </row>
    <row r="415" ht="15.75" customHeight="1">
      <c r="K415" s="169"/>
      <c r="L415" s="169"/>
    </row>
    <row r="416" ht="15.75" customHeight="1">
      <c r="K416" s="169"/>
      <c r="L416" s="169"/>
    </row>
    <row r="417" ht="15.75" customHeight="1">
      <c r="K417" s="169"/>
      <c r="L417" s="169"/>
    </row>
    <row r="418" ht="15.75" customHeight="1">
      <c r="K418" s="169"/>
      <c r="L418" s="169"/>
    </row>
    <row r="419" ht="15.75" customHeight="1">
      <c r="K419" s="169"/>
      <c r="L419" s="169"/>
    </row>
    <row r="420" ht="15.75" customHeight="1">
      <c r="K420" s="169"/>
      <c r="L420" s="169"/>
    </row>
    <row r="421" ht="15.75" customHeight="1">
      <c r="K421" s="169"/>
      <c r="L421" s="169"/>
    </row>
    <row r="422" ht="15.75" customHeight="1">
      <c r="K422" s="169"/>
      <c r="L422" s="169"/>
    </row>
    <row r="423" ht="15.75" customHeight="1">
      <c r="K423" s="169"/>
      <c r="L423" s="169"/>
    </row>
    <row r="424" ht="15.75" customHeight="1">
      <c r="K424" s="169"/>
      <c r="L424" s="169"/>
    </row>
    <row r="425" ht="15.75" customHeight="1">
      <c r="K425" s="169"/>
      <c r="L425" s="169"/>
    </row>
    <row r="426" ht="15.75" customHeight="1">
      <c r="K426" s="169"/>
      <c r="L426" s="169"/>
    </row>
    <row r="427" ht="15.75" customHeight="1">
      <c r="K427" s="169"/>
      <c r="L427" s="169"/>
    </row>
    <row r="428" ht="15.75" customHeight="1">
      <c r="K428" s="169"/>
      <c r="L428" s="169"/>
    </row>
    <row r="429" ht="15.75" customHeight="1">
      <c r="K429" s="169"/>
      <c r="L429" s="169"/>
    </row>
    <row r="430" ht="15.75" customHeight="1">
      <c r="K430" s="169"/>
      <c r="L430" s="169"/>
    </row>
    <row r="431" ht="15.75" customHeight="1">
      <c r="K431" s="169"/>
      <c r="L431" s="169"/>
    </row>
    <row r="432" ht="15.75" customHeight="1">
      <c r="K432" s="169"/>
      <c r="L432" s="169"/>
    </row>
    <row r="433" ht="15.75" customHeight="1">
      <c r="K433" s="169"/>
      <c r="L433" s="169"/>
    </row>
    <row r="434" ht="15.75" customHeight="1">
      <c r="K434" s="169"/>
      <c r="L434" s="169"/>
    </row>
    <row r="435" ht="15.75" customHeight="1">
      <c r="K435" s="169"/>
      <c r="L435" s="169"/>
    </row>
    <row r="436" ht="15.75" customHeight="1">
      <c r="K436" s="169"/>
      <c r="L436" s="169"/>
    </row>
    <row r="437" ht="15.75" customHeight="1">
      <c r="K437" s="169"/>
      <c r="L437" s="169"/>
    </row>
    <row r="438" ht="15.75" customHeight="1">
      <c r="K438" s="169"/>
      <c r="L438" s="169"/>
    </row>
    <row r="439" ht="15.75" customHeight="1">
      <c r="K439" s="169"/>
      <c r="L439" s="169"/>
    </row>
    <row r="440" ht="15.75" customHeight="1">
      <c r="K440" s="169"/>
      <c r="L440" s="169"/>
    </row>
    <row r="441" ht="15.75" customHeight="1">
      <c r="K441" s="169"/>
      <c r="L441" s="169"/>
    </row>
    <row r="442" ht="15.75" customHeight="1">
      <c r="K442" s="169"/>
      <c r="L442" s="169"/>
    </row>
    <row r="443" ht="15.75" customHeight="1">
      <c r="K443" s="169"/>
      <c r="L443" s="169"/>
    </row>
    <row r="444" ht="15.75" customHeight="1">
      <c r="K444" s="169"/>
      <c r="L444" s="169"/>
    </row>
    <row r="445" ht="15.75" customHeight="1">
      <c r="K445" s="169"/>
      <c r="L445" s="169"/>
    </row>
    <row r="446" ht="15.75" customHeight="1">
      <c r="K446" s="169"/>
      <c r="L446" s="169"/>
    </row>
    <row r="447" ht="15.75" customHeight="1">
      <c r="K447" s="169"/>
      <c r="L447" s="169"/>
    </row>
    <row r="448" ht="15.75" customHeight="1">
      <c r="K448" s="169"/>
      <c r="L448" s="169"/>
    </row>
    <row r="449" ht="15.75" customHeight="1">
      <c r="K449" s="169"/>
      <c r="L449" s="169"/>
    </row>
    <row r="450" ht="15.75" customHeight="1">
      <c r="K450" s="169"/>
      <c r="L450" s="169"/>
    </row>
    <row r="451" ht="15.75" customHeight="1">
      <c r="K451" s="169"/>
      <c r="L451" s="169"/>
    </row>
    <row r="452" ht="15.75" customHeight="1">
      <c r="K452" s="169"/>
      <c r="L452" s="169"/>
    </row>
    <row r="453" ht="15.75" customHeight="1">
      <c r="K453" s="169"/>
      <c r="L453" s="169"/>
    </row>
    <row r="454" ht="15.75" customHeight="1">
      <c r="K454" s="169"/>
      <c r="L454" s="169"/>
    </row>
    <row r="455" ht="15.75" customHeight="1">
      <c r="K455" s="169"/>
      <c r="L455" s="169"/>
    </row>
    <row r="456" ht="15.75" customHeight="1">
      <c r="K456" s="169"/>
      <c r="L456" s="169"/>
    </row>
    <row r="457" ht="15.75" customHeight="1">
      <c r="K457" s="169"/>
      <c r="L457" s="169"/>
    </row>
    <row r="458" ht="15.75" customHeight="1">
      <c r="K458" s="169"/>
      <c r="L458" s="169"/>
    </row>
    <row r="459" ht="15.75" customHeight="1">
      <c r="K459" s="169"/>
      <c r="L459" s="169"/>
    </row>
    <row r="460" ht="15.75" customHeight="1">
      <c r="K460" s="169"/>
      <c r="L460" s="169"/>
    </row>
    <row r="461" ht="15.75" customHeight="1">
      <c r="K461" s="169"/>
      <c r="L461" s="169"/>
    </row>
    <row r="462" ht="15.75" customHeight="1">
      <c r="K462" s="169"/>
      <c r="L462" s="169"/>
    </row>
    <row r="463" ht="15.75" customHeight="1">
      <c r="K463" s="169"/>
      <c r="L463" s="169"/>
    </row>
    <row r="464" ht="15.75" customHeight="1">
      <c r="K464" s="169"/>
      <c r="L464" s="169"/>
    </row>
    <row r="465" ht="15.75" customHeight="1">
      <c r="K465" s="169"/>
      <c r="L465" s="169"/>
    </row>
    <row r="466" ht="15.75" customHeight="1">
      <c r="K466" s="169"/>
      <c r="L466" s="169"/>
    </row>
    <row r="467" ht="15.75" customHeight="1">
      <c r="K467" s="169"/>
      <c r="L467" s="169"/>
    </row>
    <row r="468" ht="15.75" customHeight="1">
      <c r="K468" s="169"/>
      <c r="L468" s="169"/>
    </row>
    <row r="469" ht="15.75" customHeight="1">
      <c r="K469" s="169"/>
      <c r="L469" s="169"/>
    </row>
    <row r="470" ht="15.75" customHeight="1">
      <c r="K470" s="169"/>
      <c r="L470" s="169"/>
    </row>
    <row r="471" ht="15.75" customHeight="1">
      <c r="K471" s="169"/>
      <c r="L471" s="169"/>
    </row>
    <row r="472" ht="15.75" customHeight="1">
      <c r="K472" s="169"/>
      <c r="L472" s="169"/>
    </row>
    <row r="473" ht="15.75" customHeight="1">
      <c r="K473" s="169"/>
      <c r="L473" s="169"/>
    </row>
    <row r="474" ht="15.75" customHeight="1">
      <c r="K474" s="169"/>
      <c r="L474" s="169"/>
    </row>
    <row r="475" ht="15.75" customHeight="1">
      <c r="K475" s="169"/>
      <c r="L475" s="169"/>
    </row>
    <row r="476" ht="15.75" customHeight="1">
      <c r="K476" s="169"/>
      <c r="L476" s="169"/>
    </row>
    <row r="477" ht="15.75" customHeight="1">
      <c r="K477" s="169"/>
      <c r="L477" s="169"/>
    </row>
    <row r="478" ht="15.75" customHeight="1">
      <c r="K478" s="169"/>
      <c r="L478" s="169"/>
    </row>
    <row r="479" ht="15.75" customHeight="1">
      <c r="K479" s="169"/>
      <c r="L479" s="169"/>
    </row>
    <row r="480" ht="15.75" customHeight="1">
      <c r="K480" s="169"/>
      <c r="L480" s="169"/>
    </row>
    <row r="481" ht="15.75" customHeight="1">
      <c r="K481" s="169"/>
      <c r="L481" s="169"/>
    </row>
    <row r="482" ht="15.75" customHeight="1">
      <c r="K482" s="169"/>
      <c r="L482" s="169"/>
    </row>
    <row r="483" ht="15.75" customHeight="1">
      <c r="K483" s="169"/>
      <c r="L483" s="169"/>
    </row>
    <row r="484" ht="15.75" customHeight="1">
      <c r="K484" s="169"/>
      <c r="L484" s="169"/>
    </row>
    <row r="485" ht="15.75" customHeight="1">
      <c r="K485" s="169"/>
      <c r="L485" s="169"/>
    </row>
    <row r="486" ht="15.75" customHeight="1">
      <c r="K486" s="169"/>
      <c r="L486" s="169"/>
    </row>
    <row r="487" ht="15.75" customHeight="1">
      <c r="K487" s="169"/>
      <c r="L487" s="169"/>
    </row>
    <row r="488" ht="15.75" customHeight="1">
      <c r="K488" s="169"/>
      <c r="L488" s="169"/>
    </row>
    <row r="489" ht="15.75" customHeight="1">
      <c r="K489" s="169"/>
      <c r="L489" s="169"/>
    </row>
    <row r="490" ht="15.75" customHeight="1">
      <c r="K490" s="169"/>
      <c r="L490" s="169"/>
    </row>
    <row r="491" ht="15.75" customHeight="1">
      <c r="K491" s="169"/>
      <c r="L491" s="169"/>
    </row>
    <row r="492" ht="15.75" customHeight="1">
      <c r="K492" s="169"/>
      <c r="L492" s="169"/>
    </row>
    <row r="493" ht="15.75" customHeight="1">
      <c r="K493" s="169"/>
      <c r="L493" s="169"/>
    </row>
    <row r="494" ht="15.75" customHeight="1">
      <c r="K494" s="169"/>
      <c r="L494" s="169"/>
    </row>
    <row r="495" ht="15.75" customHeight="1">
      <c r="K495" s="169"/>
      <c r="L495" s="169"/>
    </row>
    <row r="496" ht="15.75" customHeight="1">
      <c r="K496" s="169"/>
      <c r="L496" s="169"/>
    </row>
    <row r="497" ht="15.75" customHeight="1">
      <c r="K497" s="169"/>
      <c r="L497" s="169"/>
    </row>
    <row r="498" ht="15.75" customHeight="1">
      <c r="K498" s="169"/>
      <c r="L498" s="169"/>
    </row>
    <row r="499" ht="15.75" customHeight="1">
      <c r="K499" s="169"/>
      <c r="L499" s="169"/>
    </row>
    <row r="500" ht="15.75" customHeight="1">
      <c r="K500" s="169"/>
      <c r="L500" s="169"/>
    </row>
    <row r="501" ht="15.75" customHeight="1">
      <c r="K501" s="169"/>
      <c r="L501" s="169"/>
    </row>
    <row r="502" ht="15.75" customHeight="1">
      <c r="K502" s="169"/>
      <c r="L502" s="169"/>
    </row>
    <row r="503" ht="15.75" customHeight="1">
      <c r="K503" s="169"/>
      <c r="L503" s="169"/>
    </row>
    <row r="504" ht="15.75" customHeight="1">
      <c r="K504" s="169"/>
      <c r="L504" s="169"/>
    </row>
    <row r="505" ht="15.75" customHeight="1">
      <c r="K505" s="169"/>
      <c r="L505" s="169"/>
    </row>
    <row r="506" ht="15.75" customHeight="1">
      <c r="K506" s="169"/>
      <c r="L506" s="169"/>
    </row>
    <row r="507" ht="15.75" customHeight="1">
      <c r="K507" s="169"/>
      <c r="L507" s="169"/>
    </row>
    <row r="508" ht="15.75" customHeight="1">
      <c r="K508" s="169"/>
      <c r="L508" s="169"/>
    </row>
    <row r="509" ht="15.75" customHeight="1">
      <c r="K509" s="169"/>
      <c r="L509" s="169"/>
    </row>
    <row r="510" ht="15.75" customHeight="1">
      <c r="K510" s="169"/>
      <c r="L510" s="169"/>
    </row>
    <row r="511" ht="15.75" customHeight="1">
      <c r="K511" s="169"/>
      <c r="L511" s="169"/>
    </row>
    <row r="512" ht="15.75" customHeight="1">
      <c r="K512" s="169"/>
      <c r="L512" s="169"/>
    </row>
    <row r="513" ht="15.75" customHeight="1">
      <c r="K513" s="169"/>
      <c r="L513" s="169"/>
    </row>
    <row r="514" ht="15.75" customHeight="1">
      <c r="K514" s="169"/>
      <c r="L514" s="169"/>
    </row>
    <row r="515" ht="15.75" customHeight="1">
      <c r="K515" s="169"/>
      <c r="L515" s="169"/>
    </row>
    <row r="516" ht="15.75" customHeight="1">
      <c r="K516" s="169"/>
      <c r="L516" s="169"/>
    </row>
    <row r="517" ht="15.75" customHeight="1">
      <c r="K517" s="169"/>
      <c r="L517" s="169"/>
    </row>
    <row r="518" ht="15.75" customHeight="1">
      <c r="K518" s="169"/>
      <c r="L518" s="169"/>
    </row>
    <row r="519" ht="15.75" customHeight="1">
      <c r="K519" s="169"/>
      <c r="L519" s="169"/>
    </row>
    <row r="520" ht="15.75" customHeight="1">
      <c r="K520" s="169"/>
      <c r="L520" s="169"/>
    </row>
    <row r="521" ht="15.75" customHeight="1">
      <c r="K521" s="169"/>
      <c r="L521" s="169"/>
    </row>
    <row r="522" ht="15.75" customHeight="1">
      <c r="K522" s="169"/>
      <c r="L522" s="169"/>
    </row>
    <row r="523" ht="15.75" customHeight="1">
      <c r="K523" s="169"/>
      <c r="L523" s="169"/>
    </row>
    <row r="524" ht="15.75" customHeight="1">
      <c r="K524" s="169"/>
      <c r="L524" s="169"/>
    </row>
    <row r="525" ht="15.75" customHeight="1">
      <c r="K525" s="169"/>
      <c r="L525" s="169"/>
    </row>
    <row r="526" ht="15.75" customHeight="1">
      <c r="K526" s="169"/>
      <c r="L526" s="169"/>
    </row>
    <row r="527" ht="15.75" customHeight="1">
      <c r="K527" s="169"/>
      <c r="L527" s="169"/>
    </row>
    <row r="528" ht="15.75" customHeight="1">
      <c r="K528" s="169"/>
      <c r="L528" s="169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0"/>
    <col customWidth="1" min="2" max="3" width="5.56"/>
    <col customWidth="1" min="4" max="4" width="6.78"/>
    <col customWidth="1" min="5" max="5" width="5.44"/>
    <col customWidth="1" min="6" max="6" width="5.56"/>
    <col customWidth="1" min="7" max="7" width="8.11"/>
    <col customWidth="1" min="8" max="8" width="10.78"/>
    <col customWidth="1" min="9" max="9" width="13.11"/>
    <col customWidth="1" min="10" max="10" width="13.0"/>
    <col customWidth="1" min="11" max="11" width="12.0"/>
    <col customWidth="1" min="12" max="12" width="5.56"/>
    <col customWidth="1" min="13" max="13" width="14.33"/>
    <col customWidth="1" min="14" max="14" width="11.22"/>
    <col customWidth="1" min="15" max="16" width="7.78"/>
    <col customWidth="1" min="17" max="17" width="10.89"/>
    <col customWidth="1" min="18" max="18" width="8.11"/>
    <col customWidth="1" min="19" max="19" width="6.11"/>
    <col customWidth="1" min="20" max="20" width="10.44"/>
    <col customWidth="1" min="21" max="21" width="4.0"/>
    <col customWidth="1" min="22" max="22" width="15.78"/>
    <col customWidth="1" min="23" max="23" width="7.67"/>
    <col customWidth="1" min="24" max="24" width="11.22"/>
    <col customWidth="1" min="25" max="25" width="7.67"/>
    <col customWidth="1" min="26" max="26" width="16.11"/>
    <col customWidth="1" min="27" max="27" width="8.11"/>
    <col customWidth="1" min="28" max="28" width="13.0"/>
    <col customWidth="1" min="29" max="29" width="10.11"/>
    <col customWidth="1" min="30" max="30" width="7.56"/>
    <col customWidth="1" min="31" max="31" width="6.78"/>
    <col customWidth="1" min="32" max="32" width="8.67"/>
    <col customWidth="1" min="33" max="33" width="13.0"/>
    <col customWidth="1" min="34" max="37" width="5.56"/>
  </cols>
  <sheetData>
    <row r="1">
      <c r="A1" s="1"/>
      <c r="B1" s="1"/>
      <c r="C1" s="1"/>
      <c r="D1" s="1"/>
      <c r="E1" s="1"/>
      <c r="F1" s="1"/>
      <c r="G1" s="1"/>
      <c r="H1" s="1"/>
      <c r="I1" s="212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1" t="s">
        <v>75</v>
      </c>
      <c r="AC1" s="1"/>
      <c r="AD1" s="1"/>
      <c r="AE1" s="1"/>
      <c r="AF1" s="1"/>
      <c r="AG1" s="1"/>
      <c r="AH1" s="1"/>
      <c r="AI1" s="1"/>
      <c r="AJ1" s="1"/>
      <c r="AK1" s="1"/>
    </row>
    <row r="2">
      <c r="A2" s="1">
        <f>A40</f>
        <v>426</v>
      </c>
      <c r="B2" s="1" t="str">
        <f>MID(A2,3,1)</f>
        <v>6</v>
      </c>
      <c r="C2" s="1">
        <f>IF(B2=9,0,B2+1)</f>
        <v>7</v>
      </c>
      <c r="D2" s="1">
        <f>MOD(B2+2,10)</f>
        <v>8</v>
      </c>
      <c r="E2" s="2" t="str">
        <f>B2</f>
        <v>6</v>
      </c>
      <c r="F2" s="1">
        <f>IF(B2&lt;=4,MOD(B2+1,10),MOD(B2-1,10))</f>
        <v>5</v>
      </c>
      <c r="G2" s="1"/>
      <c r="H2" s="1"/>
      <c r="I2" s="213"/>
      <c r="J2" s="213" t="str">
        <f>G2</f>
        <v/>
      </c>
      <c r="K2" s="213">
        <f>G2+F1</f>
        <v>0</v>
      </c>
      <c r="L2" s="213">
        <f>G1-G2</f>
        <v>0</v>
      </c>
      <c r="M2" s="213"/>
      <c r="N2" s="215" t="str">
        <f>F1</f>
        <v/>
      </c>
      <c r="O2" s="213">
        <f>F2</f>
        <v>5</v>
      </c>
      <c r="P2" s="213"/>
      <c r="Q2" s="213">
        <f>G1+1</f>
        <v>1</v>
      </c>
      <c r="R2" s="213"/>
      <c r="S2" s="213">
        <f>G1-1</f>
        <v>-1</v>
      </c>
      <c r="T2" s="213">
        <f>G2-1</f>
        <v>-1</v>
      </c>
      <c r="U2" s="213">
        <f>F2+1</f>
        <v>6</v>
      </c>
      <c r="V2" s="213"/>
      <c r="W2" s="213"/>
      <c r="X2" s="213"/>
      <c r="Y2" s="213"/>
      <c r="Z2" s="213"/>
      <c r="AA2" s="213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38"/>
      <c r="I3" s="213"/>
      <c r="J3" s="213"/>
      <c r="K3" s="213"/>
      <c r="L3" s="213"/>
      <c r="M3" s="213"/>
      <c r="N3" s="213" t="str">
        <f>G1</f>
        <v/>
      </c>
      <c r="O3" s="213">
        <f>F2</f>
        <v>5</v>
      </c>
      <c r="P3" s="213"/>
      <c r="Q3" s="213">
        <f>F1-1</f>
        <v>-1</v>
      </c>
      <c r="R3" s="213"/>
      <c r="S3" s="213">
        <f>G1+1</f>
        <v>1</v>
      </c>
      <c r="T3" s="213">
        <f>G2+1</f>
        <v>1</v>
      </c>
      <c r="U3" s="213">
        <f>F2-1</f>
        <v>4</v>
      </c>
      <c r="V3" s="213"/>
      <c r="W3" s="213"/>
      <c r="X3" s="213"/>
      <c r="Y3" s="213"/>
      <c r="Z3" s="213"/>
      <c r="AA3" s="213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"/>
      <c r="B4" s="1"/>
      <c r="C4" s="1"/>
      <c r="D4" s="1"/>
      <c r="E4" s="1"/>
      <c r="F4" s="1"/>
      <c r="G4" s="1"/>
      <c r="H4" s="38"/>
      <c r="I4" s="213"/>
      <c r="J4" s="213">
        <f>F4+1</f>
        <v>1</v>
      </c>
      <c r="K4" s="213" t="str">
        <f>F5</f>
        <v/>
      </c>
      <c r="L4" s="213">
        <f>F5-G4</f>
        <v>0</v>
      </c>
      <c r="M4" s="213"/>
      <c r="N4" s="213" t="str">
        <f>F4</f>
        <v/>
      </c>
      <c r="O4" s="213" t="str">
        <f>F5</f>
        <v/>
      </c>
      <c r="P4" s="213"/>
      <c r="Q4" s="213">
        <f>G4-1</f>
        <v>-1</v>
      </c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"/>
      <c r="B5" s="1"/>
      <c r="C5" s="1"/>
      <c r="D5" s="1"/>
      <c r="E5" s="1"/>
      <c r="F5" s="1"/>
      <c r="G5" s="1"/>
      <c r="H5" s="38"/>
      <c r="I5" s="213"/>
      <c r="J5" s="216" t="str">
        <f>G4</f>
        <v/>
      </c>
      <c r="K5" s="140" t="str">
        <f>F5</f>
        <v/>
      </c>
      <c r="L5" s="140">
        <f>F4-1</f>
        <v>-1</v>
      </c>
      <c r="M5" s="213"/>
      <c r="N5" s="213">
        <f>G4-1</f>
        <v>-1</v>
      </c>
      <c r="O5" s="213" t="str">
        <f>F4</f>
        <v/>
      </c>
      <c r="P5" s="213"/>
      <c r="Q5" s="213" t="str">
        <f>G5</f>
        <v/>
      </c>
      <c r="R5" s="213"/>
      <c r="S5" s="213"/>
      <c r="T5" s="213"/>
      <c r="U5" s="213"/>
      <c r="V5" s="217"/>
      <c r="W5" s="213"/>
      <c r="X5" s="213"/>
      <c r="Y5" s="213"/>
      <c r="Z5" s="213"/>
      <c r="AA5" s="213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">
        <v>651.0</v>
      </c>
      <c r="B6" s="1"/>
      <c r="C6" s="1"/>
      <c r="D6" s="1"/>
      <c r="E6" s="38"/>
      <c r="F6" s="38"/>
      <c r="G6" s="38"/>
      <c r="H6" s="38"/>
      <c r="I6" s="213"/>
      <c r="J6" s="218">
        <f>G4-1</f>
        <v>-1</v>
      </c>
      <c r="K6" s="219" t="str">
        <f>F4</f>
        <v/>
      </c>
      <c r="L6" s="219">
        <f>F4*F5</f>
        <v>0</v>
      </c>
      <c r="M6" s="213"/>
      <c r="N6" s="215">
        <f>G1-G2</f>
        <v>0</v>
      </c>
      <c r="O6" s="213">
        <f>F1-1</f>
        <v>-1</v>
      </c>
      <c r="P6" s="213"/>
      <c r="Q6" s="213">
        <f>O6*G2</f>
        <v>0</v>
      </c>
      <c r="R6" s="213"/>
      <c r="S6" s="213"/>
      <c r="T6" s="213"/>
      <c r="U6" s="213"/>
      <c r="V6" s="217"/>
      <c r="W6" s="213"/>
      <c r="X6" s="213"/>
      <c r="Y6" s="213"/>
      <c r="Z6" s="213"/>
      <c r="AA6" s="213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"/>
      <c r="B7" s="1"/>
      <c r="C7" s="1"/>
      <c r="D7" s="1"/>
      <c r="E7" s="38"/>
      <c r="F7" s="38"/>
      <c r="G7" s="38"/>
      <c r="H7" s="38" t="s">
        <v>76</v>
      </c>
      <c r="I7" s="213"/>
      <c r="J7" s="213"/>
      <c r="K7" s="219"/>
      <c r="L7" s="215"/>
      <c r="M7" s="215"/>
      <c r="N7" s="215"/>
      <c r="O7" s="213"/>
      <c r="P7" s="213"/>
      <c r="Q7" s="213"/>
      <c r="R7" s="213"/>
      <c r="S7" s="213"/>
      <c r="T7" s="213"/>
      <c r="U7" s="213"/>
      <c r="V7" s="217"/>
      <c r="W7" s="213"/>
      <c r="X7" s="213"/>
      <c r="Y7" s="213"/>
      <c r="Z7" s="213"/>
      <c r="AA7" s="213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"/>
      <c r="B8" s="1"/>
      <c r="C8" s="1"/>
      <c r="D8" s="1"/>
      <c r="E8" s="38"/>
      <c r="F8" s="38"/>
      <c r="G8" s="38"/>
      <c r="H8" s="38"/>
      <c r="I8" s="213"/>
      <c r="J8" s="213"/>
      <c r="K8" s="215"/>
      <c r="L8" s="215"/>
      <c r="M8" s="215"/>
      <c r="N8" s="213"/>
      <c r="O8" s="213"/>
      <c r="P8" s="213"/>
      <c r="Q8" s="213"/>
      <c r="R8" s="213"/>
      <c r="S8" s="213"/>
      <c r="T8" s="213"/>
      <c r="U8" s="213"/>
      <c r="V8" s="217"/>
      <c r="W8" s="213"/>
      <c r="X8" s="213"/>
      <c r="Y8" s="213"/>
      <c r="Z8" s="213"/>
      <c r="AA8" s="213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1"/>
      <c r="C9" s="1"/>
      <c r="D9" s="1"/>
      <c r="E9" s="38"/>
      <c r="F9" s="38"/>
      <c r="I9" s="213"/>
      <c r="J9" s="213"/>
      <c r="K9" s="215"/>
      <c r="L9" s="202"/>
      <c r="M9" s="215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"/>
      <c r="B10" s="1"/>
      <c r="C10" s="1"/>
      <c r="D10" s="1"/>
      <c r="E10" s="29">
        <f>data!G8</f>
        <v>0</v>
      </c>
      <c r="F10" s="29"/>
      <c r="G10" s="29">
        <f>data!H8</f>
        <v>0</v>
      </c>
      <c r="H10" s="38"/>
      <c r="I10" s="38"/>
      <c r="J10" s="1"/>
      <c r="K10" s="220"/>
      <c r="L10" s="221"/>
      <c r="M10" s="38"/>
      <c r="N10" s="220"/>
      <c r="O10" s="1" t="s">
        <v>79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"/>
      <c r="B11" s="1"/>
      <c r="C11" s="1"/>
      <c r="D11" s="1"/>
      <c r="E11" s="31" t="str">
        <f>data!G7</f>
        <v/>
      </c>
      <c r="F11" s="29"/>
      <c r="G11" s="29">
        <f>data!H7</f>
        <v>1</v>
      </c>
      <c r="H11" s="38"/>
      <c r="I11" s="38"/>
      <c r="J11" s="1"/>
      <c r="K11" s="220"/>
      <c r="L11" s="220"/>
      <c r="M11" s="38"/>
      <c r="N11" s="22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"/>
      <c r="B12" s="1"/>
      <c r="C12" s="1"/>
      <c r="D12" s="1"/>
      <c r="F12" s="38"/>
      <c r="G12" s="38"/>
      <c r="H12" s="38"/>
      <c r="I12" s="38"/>
      <c r="J12" s="1"/>
      <c r="K12" s="221"/>
      <c r="L12" s="38"/>
      <c r="M12" s="38"/>
      <c r="N12" s="38"/>
      <c r="O12" s="1" t="str">
        <f>I13</f>
        <v>0</v>
      </c>
      <c r="P12" s="1"/>
      <c r="Q12" s="1" t="str">
        <f>I16</f>
        <v>0</v>
      </c>
      <c r="R12" s="1" t="str">
        <f>K21</f>
        <v>-1</v>
      </c>
      <c r="V12" s="38"/>
      <c r="W12" s="38"/>
      <c r="X12" s="38"/>
      <c r="Y12" s="38"/>
      <c r="Z12" s="38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"/>
      <c r="B13" s="1"/>
      <c r="C13" s="1"/>
      <c r="D13" s="1"/>
      <c r="F13" s="140">
        <f>ABS(data!G43)</f>
        <v>2</v>
      </c>
      <c r="G13" s="140" t="str">
        <f>SUM(#REF!,F13)</f>
        <v>#REF!</v>
      </c>
      <c r="H13" s="38" t="s">
        <v>64</v>
      </c>
      <c r="I13" s="38" t="str">
        <f>CONCAT(MID(G10,2,1),MID(G10,1,1))</f>
        <v>0</v>
      </c>
      <c r="J13" s="1" t="str">
        <f>CONCAT(MID(G10,1,1),MID(G10,2,1))</f>
        <v>0</v>
      </c>
      <c r="K13" s="222" t="str">
        <f>CONCAT(MID(G11,1,1),MID(data!H8,1,1))</f>
        <v>10</v>
      </c>
      <c r="L13" s="222" t="str">
        <f>CONCAT(MID(G11,1,1)-1,MID(data!H8,1,1))</f>
        <v>00</v>
      </c>
      <c r="M13" s="38" t="str">
        <f>CONCAT(MID(data!G8,1,1),MID(data!H7,1,1))</f>
        <v>01</v>
      </c>
      <c r="N13" s="222" t="str">
        <f>CONCAT(MID(data!H8,1,1)-3,MID(data!H8,2,1)+1)</f>
        <v>-31</v>
      </c>
      <c r="O13" s="1" t="str">
        <f>M16</f>
        <v>11</v>
      </c>
      <c r="P13" s="1"/>
      <c r="Q13" s="1" t="str">
        <f>K13</f>
        <v>10</v>
      </c>
      <c r="R13" s="1" t="str">
        <f>J19</f>
        <v>0</v>
      </c>
      <c r="S13" s="1"/>
      <c r="T13" s="1"/>
      <c r="U13" s="1"/>
      <c r="V13" s="1">
        <v>648.0</v>
      </c>
      <c r="W13" s="1"/>
      <c r="X13" s="1"/>
      <c r="Y13" s="1"/>
      <c r="Z13" s="1">
        <v>907.0</v>
      </c>
      <c r="AA13" s="1"/>
      <c r="AB13" s="1">
        <v>970.0</v>
      </c>
      <c r="AC13" s="1"/>
      <c r="AD13" s="1">
        <v>864.0</v>
      </c>
      <c r="AE13" s="1"/>
      <c r="AF13" s="1">
        <f>AB13-AD13</f>
        <v>106</v>
      </c>
      <c r="AG13" s="1"/>
      <c r="AH13" s="1"/>
      <c r="AI13" s="1"/>
      <c r="AJ13" s="1"/>
      <c r="AK13" s="1"/>
    </row>
    <row r="14">
      <c r="A14" s="1"/>
      <c r="B14" s="1"/>
      <c r="C14" s="1"/>
      <c r="D14" s="1"/>
      <c r="E14" s="224" t="s">
        <v>33</v>
      </c>
      <c r="F14" s="224" t="s">
        <v>88</v>
      </c>
      <c r="G14" s="224" t="s">
        <v>63</v>
      </c>
      <c r="H14" s="38"/>
      <c r="I14" s="38" t="str">
        <f>CONCAT(MID(data!H8,1,1)+1,MID(data!H8,2,1)-1)</f>
        <v>1-1</v>
      </c>
      <c r="J14" s="29" t="str">
        <f>CONCAT(MID(data!H7,1,1),MID(data!G8,1,1)+MID(data!G8,2,1))</f>
        <v>10</v>
      </c>
      <c r="K14" s="222" t="str">
        <f>CONCAT(data!I13,data!I14+1)</f>
        <v>1</v>
      </c>
      <c r="L14" s="222" t="str">
        <f>CONCAT(MID(data!G8,2,1)-MID(data!H7,1,1),MID(data!G7,1,1)-1)</f>
        <v>-1-1</v>
      </c>
      <c r="M14" s="38" t="str">
        <f>CONCAT(MID(K14,2,1),MID(K14,1,1))</f>
        <v>1</v>
      </c>
      <c r="N14" s="38" t="str">
        <f>CONCAT(MID(I13,1,1)+1,MID(I13,1,1)-MID(I13,2,1))</f>
        <v>10</v>
      </c>
      <c r="O14" s="1" t="str">
        <f>J16</f>
        <v>3-</v>
      </c>
      <c r="P14" s="1"/>
      <c r="Q14" s="1" t="str">
        <f>J21</f>
        <v>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>
        <f>Z13-V13</f>
        <v>259</v>
      </c>
      <c r="AG14" s="1"/>
      <c r="AH14" s="1"/>
      <c r="AI14" s="1"/>
      <c r="AJ14" s="1"/>
      <c r="AK14" s="1"/>
    </row>
    <row r="15">
      <c r="A15" s="1"/>
      <c r="B15" s="38"/>
      <c r="C15" s="38"/>
      <c r="E15" s="38">
        <f>data!K9</f>
        <v>2</v>
      </c>
      <c r="F15" s="38">
        <f>data!H1</f>
        <v>0</v>
      </c>
      <c r="G15" s="38" t="str">
        <f>data!I4</f>
        <v>1</v>
      </c>
      <c r="I15" s="38" t="str">
        <f>CONCAT(E10-MID(G10,1,1),MID(G10,1,1))</f>
        <v>00</v>
      </c>
      <c r="J15" s="140" t="s">
        <v>97</v>
      </c>
      <c r="K15" s="222"/>
      <c r="L15" s="222"/>
      <c r="M15" s="38"/>
      <c r="N15" s="38"/>
      <c r="O15" s="1" t="str">
        <f>J16</f>
        <v>3-</v>
      </c>
      <c r="P15" s="1"/>
      <c r="Q15" s="1" t="str">
        <f>N21</f>
        <v>33</v>
      </c>
      <c r="R15" s="1" t="str">
        <f>I13</f>
        <v>0</v>
      </c>
      <c r="S15" s="1"/>
      <c r="T15" s="1"/>
      <c r="U15" s="1"/>
      <c r="V15" s="1">
        <v>507.0</v>
      </c>
      <c r="W15" s="1"/>
      <c r="X15" s="1"/>
      <c r="Y15" s="1"/>
      <c r="Z15" s="1">
        <v>746.0</v>
      </c>
      <c r="AA15" s="1"/>
      <c r="AB15" s="1">
        <v>764.0</v>
      </c>
      <c r="AC15" s="1"/>
      <c r="AD15" s="1">
        <v>750.0</v>
      </c>
      <c r="AE15" s="1"/>
      <c r="AF15" s="1">
        <f>AB15-AD15</f>
        <v>14</v>
      </c>
      <c r="AG15" s="1"/>
      <c r="AH15" s="1"/>
      <c r="AI15" s="1"/>
      <c r="AJ15" s="1"/>
      <c r="AK15" s="1"/>
    </row>
    <row r="16">
      <c r="A16" s="1"/>
      <c r="D16" s="1"/>
      <c r="E16" s="38">
        <f>data!K11</f>
        <v>-1</v>
      </c>
      <c r="F16" s="38" t="str">
        <f>data!K4</f>
        <v/>
      </c>
      <c r="G16" s="29">
        <f>F27</f>
        <v>2</v>
      </c>
      <c r="H16" s="38" t="s">
        <v>38</v>
      </c>
      <c r="I16" s="38" t="str">
        <f>CONCAT(MID(data!G8,1,1),MID(data!G8,2,1))</f>
        <v>0</v>
      </c>
      <c r="J16" s="1" t="str">
        <f>CONCAT(MID(N13,2,1),MID(L19,2,1))</f>
        <v>3-</v>
      </c>
      <c r="K16" s="227" t="str">
        <f>CONCAT(MID(K13,1,1),MID(K13,2,1)+1)</f>
        <v>11</v>
      </c>
      <c r="L16" s="222" t="str">
        <f>CONCAT(MID(L14,2,1),MID(data!G8,1,1))</f>
        <v>10</v>
      </c>
      <c r="M16" s="222" t="str">
        <f>CONCAT(data!I8,data!L9)</f>
        <v>11</v>
      </c>
      <c r="N16" s="222" t="str">
        <f>CONCAT(MID(N14,2,1),data!F7)</f>
        <v>0-1</v>
      </c>
      <c r="O16" s="1" t="str">
        <f>J16</f>
        <v>3-</v>
      </c>
      <c r="P16" s="1"/>
      <c r="Q16" s="1" t="str">
        <f>L16</f>
        <v>10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>
        <f>Z15-V15</f>
        <v>239</v>
      </c>
      <c r="AG16" s="1"/>
      <c r="AH16" s="1"/>
      <c r="AI16" s="1"/>
      <c r="AJ16" s="1"/>
      <c r="AK16" s="1"/>
    </row>
    <row r="17">
      <c r="A17" s="1"/>
      <c r="B17" s="1"/>
      <c r="C17" s="140" t="s">
        <v>11</v>
      </c>
      <c r="D17" s="1"/>
      <c r="E17" s="1">
        <f>G22</f>
        <v>0</v>
      </c>
      <c r="F17" s="1" t="str">
        <f>F23</f>
        <v/>
      </c>
      <c r="G17" s="1">
        <f>E23</f>
        <v>2</v>
      </c>
      <c r="H17" s="1"/>
      <c r="I17" s="1" t="str">
        <f>MID(I24,2,1)</f>
        <v>0</v>
      </c>
      <c r="J17" s="1"/>
      <c r="K17" s="1"/>
      <c r="L17" s="1" t="s">
        <v>88</v>
      </c>
      <c r="M17" s="38">
        <f t="array" ref="M17:AE17">UNIQUE(TRANSPOSE(F15:F33))</f>
        <v>0</v>
      </c>
      <c r="N17" s="1" t="s">
        <v>102</v>
      </c>
      <c r="O17" s="1" t="s">
        <v>102</v>
      </c>
      <c r="P17" s="1">
        <v>-1.0</v>
      </c>
      <c r="Q17" s="38">
        <v>2.0</v>
      </c>
      <c r="R17" s="1">
        <v>2.0</v>
      </c>
      <c r="S17" s="1">
        <v>-1.0</v>
      </c>
      <c r="T17" s="1">
        <v>-1.0</v>
      </c>
      <c r="U17" s="1" t="s">
        <v>102</v>
      </c>
      <c r="V17" s="1">
        <v>4.0</v>
      </c>
      <c r="W17" s="1"/>
      <c r="X17" s="1" t="s">
        <v>103</v>
      </c>
      <c r="Y17" s="1">
        <v>2.0</v>
      </c>
      <c r="Z17" s="1" t="s">
        <v>103</v>
      </c>
      <c r="AA17" s="1"/>
      <c r="AB17" s="1">
        <v>0.0</v>
      </c>
      <c r="AC17" s="1">
        <v>0.0</v>
      </c>
      <c r="AD17" s="1"/>
      <c r="AE17" s="1">
        <v>2.0</v>
      </c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229" t="str">
        <f>data!I11</f>
        <v/>
      </c>
      <c r="F18" s="230">
        <f>data!L12</f>
        <v>-1</v>
      </c>
      <c r="G18" s="230">
        <f>data!L7</f>
        <v>-1</v>
      </c>
      <c r="H18" s="38"/>
      <c r="I18" s="38">
        <f>G10</f>
        <v>0</v>
      </c>
      <c r="J18" s="1"/>
      <c r="K18" s="222"/>
      <c r="L18" s="222"/>
      <c r="M18" s="222"/>
      <c r="N18" s="222"/>
      <c r="O18" s="1" t="str">
        <f>I13</f>
        <v>0</v>
      </c>
      <c r="P18" s="1"/>
      <c r="Q18" s="1" t="str">
        <f>J13</f>
        <v>0</v>
      </c>
      <c r="R18" s="1" t="str">
        <f>I16</f>
        <v>0</v>
      </c>
      <c r="V18" s="1"/>
      <c r="AH18" s="1"/>
      <c r="AI18" s="1"/>
      <c r="AJ18" s="1"/>
      <c r="AK18" s="1"/>
    </row>
    <row r="19">
      <c r="A19" s="1"/>
      <c r="B19" s="1"/>
      <c r="C19" s="1"/>
      <c r="D19" s="1"/>
      <c r="E19" s="137">
        <f>data!I10</f>
        <v>2</v>
      </c>
      <c r="F19" s="38">
        <f>data!K7</f>
        <v>2</v>
      </c>
      <c r="G19" s="38">
        <f>data!L7</f>
        <v>-1</v>
      </c>
      <c r="H19" s="38" t="s">
        <v>26</v>
      </c>
      <c r="I19" s="38" t="str">
        <f>CONCAT(data!H4,data!H1)</f>
        <v>00</v>
      </c>
      <c r="J19" s="1" t="str">
        <f>CONCAT(MID(data!G8,1,1),MID(data!G7,1,1))</f>
        <v>0</v>
      </c>
      <c r="K19" s="2" t="str">
        <f>CONCAT(MID(data!G8,1,1),MID(data!G7,1,1)-1)</f>
        <v>0-1</v>
      </c>
      <c r="L19" s="2" t="str">
        <f>CONCAT(MID(N13,1,1),MID(data!G7,1,1)-3)</f>
        <v>--3</v>
      </c>
      <c r="M19" s="2" t="str">
        <f>CONCAT(MID(I14,1,1),MID(data!G7,1,1))</f>
        <v>1</v>
      </c>
      <c r="N19" s="2" t="str">
        <f>CONCAT(MID(K13,1,1),mid(data!G8,1,1))</f>
        <v>10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>
        <f>987-430</f>
        <v>557</v>
      </c>
      <c r="AG19" s="1"/>
      <c r="AH19" s="1"/>
      <c r="AI19" s="1"/>
      <c r="AJ19" s="1"/>
      <c r="AK19" s="1"/>
    </row>
    <row r="20">
      <c r="A20" s="1"/>
      <c r="B20" s="1"/>
      <c r="C20" s="1"/>
      <c r="D20" s="1"/>
      <c r="E20" s="137" t="str">
        <f>data!K15</f>
        <v/>
      </c>
      <c r="F20" s="231">
        <f>data!N12</f>
        <v>2</v>
      </c>
      <c r="G20" s="231">
        <f>data!P15</f>
        <v>2</v>
      </c>
      <c r="I20" s="38"/>
      <c r="J20" s="1"/>
      <c r="K20" s="1"/>
      <c r="L20" s="1"/>
      <c r="M20" s="1"/>
      <c r="N20" s="1"/>
      <c r="O20" s="1" t="str">
        <f>K21</f>
        <v>-1</v>
      </c>
      <c r="P20" s="1"/>
      <c r="Q20" s="1" t="str">
        <f>J16</f>
        <v>3-</v>
      </c>
      <c r="R20" s="1" t="str">
        <f>K21</f>
        <v>-1</v>
      </c>
      <c r="S20" s="1"/>
      <c r="T20" s="1"/>
      <c r="U20" s="1"/>
      <c r="V20" s="1">
        <v>430.0</v>
      </c>
      <c r="W20" s="1"/>
      <c r="X20" s="1"/>
      <c r="Y20" s="1"/>
      <c r="Z20" s="1">
        <v>879.0</v>
      </c>
      <c r="AA20" s="1"/>
      <c r="AB20" s="1"/>
      <c r="AC20" s="1"/>
      <c r="AD20" s="1"/>
      <c r="AE20" s="1">
        <f>987-943</f>
        <v>44</v>
      </c>
      <c r="AF20" s="1">
        <f>Z20-V20</f>
        <v>449</v>
      </c>
      <c r="AG20" s="1"/>
      <c r="AH20" s="1"/>
      <c r="AI20" s="1"/>
      <c r="AJ20" s="1"/>
      <c r="AK20" s="1"/>
    </row>
    <row r="21" ht="15.75" customHeight="1">
      <c r="A21" s="216" t="s">
        <v>104</v>
      </c>
      <c r="B21" s="1"/>
      <c r="C21" s="1" t="s">
        <v>11</v>
      </c>
      <c r="D21" s="1"/>
      <c r="E21" s="1">
        <f>data!L19</f>
        <v>1</v>
      </c>
      <c r="F21" s="38">
        <f>data!K19</f>
        <v>-1</v>
      </c>
      <c r="G21" s="1">
        <f>data!I19</f>
        <v>0</v>
      </c>
      <c r="H21" s="1"/>
      <c r="I21" s="29" t="str">
        <f>CONCAT(data!I14+1,data!I10)</f>
        <v>12</v>
      </c>
      <c r="J21" s="29" t="str">
        <f>CONCAT(data!I10+data!I9,data!I13)</f>
        <v>3</v>
      </c>
      <c r="K21" s="2" t="str">
        <f>CONCAT(MID(L14,1,1),MID(M16,2,1))</f>
        <v>-1</v>
      </c>
      <c r="L21" s="2" t="str">
        <f>CONCAT(data!H7,data!F7)</f>
        <v>1-1</v>
      </c>
      <c r="M21" s="2" t="str">
        <f>CONCAT(MID(N14,1,1),MID(N16,2,1))</f>
        <v>1-</v>
      </c>
      <c r="N21" s="2" t="str">
        <f>CONCAT(MID(O14,1,1),MID(O16,1,1))</f>
        <v>33</v>
      </c>
      <c r="R21" s="2">
        <f>8*7</f>
        <v>56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>
      <c r="A22" s="1"/>
      <c r="B22" s="1"/>
      <c r="C22" s="1" t="s">
        <v>11</v>
      </c>
      <c r="E22" s="1">
        <f>data!I19</f>
        <v>0</v>
      </c>
      <c r="F22" s="1">
        <f>data!K19</f>
        <v>-1</v>
      </c>
      <c r="G22" s="1">
        <f>data!L6</f>
        <v>0</v>
      </c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/>
      <c r="B23" s="1"/>
      <c r="C23" s="29" t="s">
        <v>11</v>
      </c>
      <c r="E23" s="233">
        <f>F13</f>
        <v>2</v>
      </c>
      <c r="F23" s="233" t="str">
        <f>F37</f>
        <v/>
      </c>
      <c r="G23" s="233" t="str">
        <f>F16</f>
        <v/>
      </c>
      <c r="H23" s="1"/>
      <c r="I23" s="1"/>
      <c r="J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/>
      <c r="B24" s="1"/>
      <c r="C24" s="1" t="s">
        <v>11</v>
      </c>
      <c r="D24" s="1"/>
      <c r="E24" s="1">
        <f>data!I9</f>
        <v>1</v>
      </c>
      <c r="F24" s="1">
        <f>data!O9</f>
        <v>4</v>
      </c>
      <c r="G24" s="1">
        <f>data!I19</f>
        <v>0</v>
      </c>
      <c r="I24" s="140" t="str">
        <f>CONCAT(I19,M19)</f>
        <v>001</v>
      </c>
      <c r="J24" s="1"/>
      <c r="K24" s="1" t="s">
        <v>115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/>
      <c r="B25" s="1"/>
      <c r="C25" s="1"/>
      <c r="D25" s="1"/>
      <c r="E25" s="1"/>
      <c r="F25" s="1"/>
      <c r="G25" s="1"/>
      <c r="I25" s="14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/>
      <c r="B26" s="1"/>
      <c r="C26" s="1" t="s">
        <v>11</v>
      </c>
      <c r="D26" s="1"/>
      <c r="E26" s="1" t="str">
        <f>#REF!</f>
        <v>#REF!</v>
      </c>
      <c r="F26" s="1" t="str">
        <f t="shared" ref="F26:G26" si="1">F28</f>
        <v>0</v>
      </c>
      <c r="G26" s="1" t="str">
        <f t="shared" si="1"/>
        <v>0</v>
      </c>
      <c r="H26" s="1" t="str">
        <f>MID(I24,3,1)</f>
        <v>1</v>
      </c>
      <c r="I26" s="1" t="str">
        <f>MID(I24,1,1)</f>
        <v>0</v>
      </c>
      <c r="J26" s="137">
        <f>mid(I21, 2,1)+mid(J21, 2,1)</f>
        <v>2</v>
      </c>
      <c r="K26" s="1" t="str">
        <f t="shared" ref="K26:L26" si="2">mid(I21, 1,1)</f>
        <v>1</v>
      </c>
      <c r="L26" s="2" t="str">
        <f t="shared" si="2"/>
        <v>3</v>
      </c>
      <c r="M26" s="1">
        <f t="array" ref="M26:AE26">UNIQUE(TRANSPOSE(E15:E33))</f>
        <v>2</v>
      </c>
      <c r="N26" s="1">
        <v>-1.0</v>
      </c>
      <c r="O26" s="1">
        <v>0.0</v>
      </c>
      <c r="P26" s="1" t="s">
        <v>102</v>
      </c>
      <c r="Q26" s="1">
        <v>2.0</v>
      </c>
      <c r="R26" s="1" t="s">
        <v>102</v>
      </c>
      <c r="S26" s="1">
        <v>1.0</v>
      </c>
      <c r="T26" s="1">
        <v>0.0</v>
      </c>
      <c r="U26" s="1">
        <v>2.0</v>
      </c>
      <c r="V26" s="1">
        <v>1.0</v>
      </c>
      <c r="W26" s="1"/>
      <c r="X26" s="1" t="e">
        <v>#REF!</v>
      </c>
      <c r="Y26" s="1">
        <v>0.0</v>
      </c>
      <c r="Z26" s="1">
        <v>2.0</v>
      </c>
      <c r="AA26" s="1">
        <v>4.0</v>
      </c>
      <c r="AB26" s="1">
        <v>1.0</v>
      </c>
      <c r="AC26" s="1">
        <v>2.0</v>
      </c>
      <c r="AD26" s="1"/>
      <c r="AE26" s="1" t="e">
        <v>#REF!</v>
      </c>
      <c r="AF26" s="1"/>
      <c r="AG26" s="1"/>
      <c r="AH26" s="1"/>
      <c r="AI26" s="1"/>
      <c r="AJ26" s="1"/>
      <c r="AK26" s="1"/>
    </row>
    <row r="27" ht="15.75" customHeight="1">
      <c r="A27" s="1"/>
      <c r="B27" s="1"/>
      <c r="C27" s="1" t="s">
        <v>11</v>
      </c>
      <c r="D27" s="1"/>
      <c r="E27" s="29">
        <f>F15</f>
        <v>0</v>
      </c>
      <c r="F27" s="1">
        <f t="shared" ref="F27:G27" si="3">F20</f>
        <v>2</v>
      </c>
      <c r="G27" s="1">
        <f t="shared" si="3"/>
        <v>2</v>
      </c>
      <c r="H27" s="1">
        <f>MID(I24,1,1)-1</f>
        <v>-1</v>
      </c>
      <c r="I27" s="1" t="str">
        <f>MID(I24,3,1)</f>
        <v>1</v>
      </c>
      <c r="K27" s="1"/>
      <c r="L27" s="1"/>
      <c r="M27" s="1" t="str">
        <f t="array" ref="M27:AE27">UNIQUE(TRANSPOSE(G15:G33))</f>
        <v>1</v>
      </c>
      <c r="N27" s="1">
        <v>2.0</v>
      </c>
      <c r="O27" s="1">
        <v>2.0</v>
      </c>
      <c r="P27" s="1">
        <v>-1.0</v>
      </c>
      <c r="Q27" s="1">
        <v>-1.0</v>
      </c>
      <c r="R27" s="1">
        <v>2.0</v>
      </c>
      <c r="S27" s="1">
        <v>0.0</v>
      </c>
      <c r="T27" s="1">
        <v>0.0</v>
      </c>
      <c r="U27" s="1" t="s">
        <v>102</v>
      </c>
      <c r="V27" s="1">
        <v>0.0</v>
      </c>
      <c r="W27" s="1"/>
      <c r="X27" s="1" t="s">
        <v>103</v>
      </c>
      <c r="Y27" s="1">
        <v>2.0</v>
      </c>
      <c r="Z27" s="29" t="s">
        <v>103</v>
      </c>
      <c r="AA27" s="29"/>
      <c r="AB27" s="29">
        <v>5.0</v>
      </c>
      <c r="AC27" s="1">
        <v>0.0</v>
      </c>
      <c r="AD27" s="1"/>
      <c r="AE27" s="1" t="e">
        <v>#REF!</v>
      </c>
      <c r="AF27" s="1"/>
      <c r="AG27" s="1"/>
      <c r="AH27" s="1"/>
      <c r="AI27" s="1"/>
      <c r="AJ27" s="1"/>
      <c r="AK27" s="1"/>
    </row>
    <row r="28" ht="15.75" customHeight="1">
      <c r="A28" s="1"/>
      <c r="B28" s="1"/>
      <c r="C28" s="1" t="s">
        <v>11</v>
      </c>
      <c r="D28" s="1"/>
      <c r="E28" s="1">
        <f>data!I10</f>
        <v>2</v>
      </c>
      <c r="F28" s="1" t="str">
        <f>data!L15</f>
        <v>0</v>
      </c>
      <c r="G28" s="1" t="str">
        <f>data!I14</f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>
        <f>891-746</f>
        <v>145</v>
      </c>
      <c r="B29" s="1"/>
      <c r="C29" s="1" t="s">
        <v>11</v>
      </c>
      <c r="D29" s="1"/>
      <c r="E29" s="29">
        <f>F24</f>
        <v>4</v>
      </c>
      <c r="G29" s="1"/>
      <c r="H29" s="1" t="str">
        <f>MID(I24,4,1)</f>
        <v/>
      </c>
      <c r="I29" s="1" t="str">
        <f>MID(I24,4,1)</f>
        <v/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/>
      <c r="B30" s="1"/>
      <c r="C30" s="1" t="s">
        <v>11</v>
      </c>
      <c r="D30" s="1"/>
      <c r="E30" s="1">
        <f>data!L19</f>
        <v>1</v>
      </c>
      <c r="F30" s="1">
        <f>data!L6</f>
        <v>0</v>
      </c>
      <c r="G30" s="1">
        <f>data!O10</f>
        <v>5</v>
      </c>
      <c r="H30" s="1"/>
      <c r="L30" s="1"/>
      <c r="M30" s="1"/>
      <c r="N30" s="38">
        <v>5.0</v>
      </c>
      <c r="O30" s="1">
        <f>N30+1</f>
        <v>6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/>
      <c r="B31" s="1"/>
      <c r="C31" s="1" t="s">
        <v>11</v>
      </c>
      <c r="D31" s="1"/>
      <c r="E31" s="1">
        <f t="shared" ref="E31:F31" si="4">E15</f>
        <v>2</v>
      </c>
      <c r="F31" s="1">
        <f t="shared" si="4"/>
        <v>0</v>
      </c>
      <c r="G31" s="1">
        <f>E22</f>
        <v>0</v>
      </c>
      <c r="H31" s="38">
        <f>I26+1</f>
        <v>1</v>
      </c>
      <c r="N31" s="38">
        <v>9.0</v>
      </c>
      <c r="O31" s="38">
        <f>N31</f>
        <v>9</v>
      </c>
      <c r="P31" s="38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38"/>
      <c r="N32" s="38"/>
      <c r="O32" s="38"/>
      <c r="P32" s="38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"/>
      <c r="C33" s="1"/>
      <c r="D33" s="1"/>
      <c r="E33" s="1" t="str">
        <f>G13</f>
        <v>#REF!</v>
      </c>
      <c r="F33" s="1">
        <f>F13</f>
        <v>2</v>
      </c>
      <c r="G33" s="1" t="str">
        <f>#REF!+1</f>
        <v>#REF!</v>
      </c>
      <c r="H33" s="38" t="str">
        <f>I27</f>
        <v>1</v>
      </c>
      <c r="I33" s="38" t="str">
        <f>I26/I17</f>
        <v>#DIV/0!</v>
      </c>
      <c r="J33" s="38" t="str">
        <f>I29</f>
        <v/>
      </c>
      <c r="K33" s="38" t="str">
        <f>I27</f>
        <v>1</v>
      </c>
      <c r="L33" s="38">
        <v>9.0</v>
      </c>
      <c r="M33" s="38">
        <f>M26+I26</f>
        <v>2</v>
      </c>
      <c r="N33" s="141">
        <f>J26-1</f>
        <v>1</v>
      </c>
      <c r="O33" s="141">
        <f>N33-K26</f>
        <v>0</v>
      </c>
      <c r="P33" s="29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"/>
      <c r="C34" s="1"/>
      <c r="D34" s="1"/>
      <c r="E34" s="1" t="str">
        <f>E31/G31</f>
        <v>#DIV/0!</v>
      </c>
      <c r="F34" s="1">
        <f>F31</f>
        <v>0</v>
      </c>
      <c r="G34" s="1" t="str">
        <f>E34*F34</f>
        <v>#DIV/0!</v>
      </c>
      <c r="H34" s="38" t="str">
        <f>I29</f>
        <v/>
      </c>
      <c r="I34" s="1">
        <f>I29+1</f>
        <v>1</v>
      </c>
      <c r="J34" s="1">
        <f>I27+I17</f>
        <v>1</v>
      </c>
      <c r="K34" s="1" t="str">
        <f>I26</f>
        <v>0</v>
      </c>
      <c r="L34" s="1"/>
      <c r="M34" s="1">
        <f>M35</f>
        <v>-1</v>
      </c>
      <c r="N34" s="141">
        <f>O35+1</f>
        <v>2</v>
      </c>
      <c r="O34" s="29">
        <f>N35</f>
        <v>9</v>
      </c>
      <c r="P34" s="29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"/>
      <c r="C35" s="1"/>
      <c r="D35" s="1"/>
      <c r="E35" s="1">
        <f>E23+1</f>
        <v>3</v>
      </c>
      <c r="F35" s="1">
        <f t="shared" ref="F35:G35" si="5">F23-1</f>
        <v>-1</v>
      </c>
      <c r="G35" s="1">
        <f t="shared" si="5"/>
        <v>-1</v>
      </c>
      <c r="H35" s="1"/>
      <c r="I35" s="140">
        <f>J34</f>
        <v>1</v>
      </c>
      <c r="J35" s="140">
        <f>K33+1</f>
        <v>2</v>
      </c>
      <c r="K35" s="140" t="str">
        <f>J33</f>
        <v/>
      </c>
      <c r="L35" s="1"/>
      <c r="M35" s="1">
        <f>J33-1</f>
        <v>-1</v>
      </c>
      <c r="N35" s="1">
        <f>L33</f>
        <v>9</v>
      </c>
      <c r="O35" s="29" t="str">
        <f t="shared" ref="O35:O36" si="6">K33</f>
        <v>1</v>
      </c>
      <c r="P35" s="29"/>
      <c r="Q35" s="1"/>
      <c r="R35" s="1"/>
      <c r="S35" s="1"/>
      <c r="T35" s="1"/>
      <c r="U35" s="1"/>
      <c r="V35" s="1"/>
      <c r="W35" s="1">
        <v>636784.0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"/>
      <c r="C36" s="1"/>
      <c r="D36" s="1"/>
      <c r="E36" s="1"/>
      <c r="F36" s="1"/>
      <c r="G36" s="1"/>
      <c r="H36" s="38">
        <f>I29+1</f>
        <v>1</v>
      </c>
      <c r="I36" s="1"/>
      <c r="J36" s="1">
        <f>K33+1</f>
        <v>2</v>
      </c>
      <c r="K36" s="1"/>
      <c r="L36" s="1"/>
      <c r="M36" s="1">
        <f>L33</f>
        <v>9</v>
      </c>
      <c r="N36" s="1" t="str">
        <f>K33</f>
        <v>1</v>
      </c>
      <c r="O36" s="1" t="str">
        <f t="shared" si="6"/>
        <v>0</v>
      </c>
      <c r="P36" s="1"/>
      <c r="Q36" s="1"/>
      <c r="R36" s="1"/>
      <c r="S36" s="1"/>
      <c r="T36" s="1"/>
      <c r="U36" s="1"/>
      <c r="V36" s="1"/>
      <c r="W36" s="1">
        <v>407636.0</v>
      </c>
      <c r="X36" s="1"/>
      <c r="Y36" s="1"/>
      <c r="Z36" s="1"/>
      <c r="AA36" s="1"/>
      <c r="AB36" s="1"/>
      <c r="AC36" s="1" t="s">
        <v>116</v>
      </c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">
        <v>72.0</v>
      </c>
      <c r="C37" s="1" t="s">
        <v>11</v>
      </c>
      <c r="D37" s="1"/>
      <c r="E37" s="1">
        <f>data!I12</f>
        <v>0</v>
      </c>
      <c r="F37" s="1" t="str">
        <f>data!K15</f>
        <v/>
      </c>
      <c r="G37" s="1" t="str">
        <f>data!I11</f>
        <v/>
      </c>
      <c r="H37" s="1" t="str">
        <f>I27</f>
        <v>1</v>
      </c>
      <c r="I37" s="29"/>
      <c r="J37" s="1" t="str">
        <f>K34</f>
        <v>0</v>
      </c>
      <c r="K37" s="1">
        <f>L33-1</f>
        <v>8</v>
      </c>
      <c r="L37" s="1"/>
      <c r="M37" s="29" t="str">
        <f>K34</f>
        <v>0</v>
      </c>
      <c r="N37" s="29" t="str">
        <f t="shared" ref="N37:O37" si="7">K33</f>
        <v>1</v>
      </c>
      <c r="O37" s="29">
        <f t="shared" si="7"/>
        <v>9</v>
      </c>
      <c r="P37" s="29"/>
      <c r="Q37" s="1"/>
      <c r="R37" s="1"/>
      <c r="S37" s="1"/>
      <c r="T37" s="1"/>
      <c r="U37" s="1"/>
      <c r="V37" s="1"/>
      <c r="AA37" s="1">
        <v>2.0</v>
      </c>
      <c r="AB37" s="1">
        <v>47.0</v>
      </c>
      <c r="AC37" s="1">
        <v>51.0</v>
      </c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"/>
      <c r="C38" s="1"/>
      <c r="D38" s="1"/>
      <c r="E38" s="1">
        <v>3.0</v>
      </c>
      <c r="F38" s="140">
        <v>6.0</v>
      </c>
      <c r="G38" s="140">
        <v>2.0</v>
      </c>
      <c r="H38" s="1" t="str">
        <f>I26</f>
        <v>0</v>
      </c>
      <c r="I38" s="1"/>
      <c r="J38" s="61">
        <f>J34+1</f>
        <v>2</v>
      </c>
      <c r="K38" s="1" t="str">
        <f>K34</f>
        <v>0</v>
      </c>
      <c r="L38" s="1"/>
      <c r="M38" s="1">
        <f>L33-K33</f>
        <v>8</v>
      </c>
      <c r="N38" s="1" t="str">
        <f>J33</f>
        <v/>
      </c>
      <c r="O38" s="1">
        <f>J34</f>
        <v>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"/>
      <c r="C39" s="1"/>
      <c r="D39" s="1"/>
      <c r="E39" s="1">
        <f>E37+1</f>
        <v>1</v>
      </c>
      <c r="F39" s="1" t="str">
        <f>F37</f>
        <v/>
      </c>
      <c r="G39" s="140">
        <f>G37+1</f>
        <v>1</v>
      </c>
      <c r="H39" s="1"/>
      <c r="I39" s="1">
        <f>I34+K34</f>
        <v>1</v>
      </c>
      <c r="J39" s="1">
        <f t="shared" ref="J39:K39" si="8">J34</f>
        <v>1</v>
      </c>
      <c r="K39" s="1" t="str">
        <f t="shared" si="8"/>
        <v>0</v>
      </c>
      <c r="L39" s="1"/>
      <c r="M39" s="1" t="str">
        <f>J33</f>
        <v/>
      </c>
      <c r="N39" s="1" t="str">
        <f>CONCATENATE(K33, "  5 to 8 vise")</f>
        <v>1  5 to 8 vise</v>
      </c>
      <c r="O39" s="234" t="s">
        <v>117</v>
      </c>
      <c r="P39" s="1"/>
      <c r="Q39" s="1"/>
      <c r="R39" s="1"/>
      <c r="S39" s="1"/>
      <c r="T39" s="1"/>
      <c r="U39" s="1"/>
      <c r="V39" s="1"/>
      <c r="W39" s="1">
        <f>W35-W36</f>
        <v>229148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235">
        <f>E41</f>
        <v>426</v>
      </c>
      <c r="B40" s="1"/>
      <c r="C40" s="1"/>
      <c r="D40" s="1"/>
      <c r="E40" s="40">
        <f>F15</f>
        <v>0</v>
      </c>
      <c r="F40" s="40">
        <f>E15</f>
        <v>2</v>
      </c>
      <c r="G40" s="40">
        <f>G15+1</f>
        <v>2</v>
      </c>
      <c r="I40" s="235">
        <f>E41</f>
        <v>426</v>
      </c>
      <c r="J40" s="1"/>
      <c r="K40" s="1"/>
      <c r="L40" s="1"/>
      <c r="M40" s="1" t="str">
        <f>J33</f>
        <v/>
      </c>
      <c r="N40" s="1" t="str">
        <f>O39</f>
        <v>9 or 0</v>
      </c>
      <c r="O40" s="1">
        <f>K33+1</f>
        <v>2</v>
      </c>
      <c r="P40" s="1"/>
      <c r="Q40" s="1"/>
      <c r="R40" s="1"/>
      <c r="S40" s="1"/>
      <c r="T40" s="1"/>
      <c r="U40" s="1"/>
      <c r="V40" s="1"/>
      <c r="W40" s="1">
        <f>W39-AA37</f>
        <v>229146</v>
      </c>
      <c r="X40" s="1"/>
      <c r="Y40" s="1"/>
      <c r="Z40" s="1"/>
      <c r="AA40" s="1">
        <f>W39-AA37</f>
        <v>229146</v>
      </c>
      <c r="AB40" s="1">
        <f>W40-AB38</f>
        <v>229146</v>
      </c>
      <c r="AC40" s="1">
        <f>W39-AC37</f>
        <v>229097</v>
      </c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"/>
      <c r="C41" s="1"/>
      <c r="D41" s="1"/>
      <c r="E41" s="235">
        <f>concatenate(I26:L26)*2</f>
        <v>426</v>
      </c>
      <c r="F41" s="1">
        <v>42.0</v>
      </c>
      <c r="G41" s="1">
        <f>E41*F41</f>
        <v>17892</v>
      </c>
      <c r="H41" s="2">
        <v>1.0</v>
      </c>
      <c r="I41" s="2"/>
      <c r="J41" s="236">
        <f>I40*H41</f>
        <v>426</v>
      </c>
      <c r="K41" s="236"/>
      <c r="L41" s="237" t="s">
        <v>88</v>
      </c>
      <c r="M41" s="61" t="s">
        <v>118</v>
      </c>
      <c r="N41" s="61" t="s">
        <v>119</v>
      </c>
      <c r="O41" s="1"/>
      <c r="P41" s="1"/>
      <c r="Q41" s="1">
        <v>3.0</v>
      </c>
      <c r="R41" s="1">
        <v>32.0</v>
      </c>
      <c r="S41" s="1">
        <v>33.0</v>
      </c>
      <c r="T41" s="1">
        <v>321.0</v>
      </c>
      <c r="V41" s="2">
        <v>1.0</v>
      </c>
      <c r="W41" s="1"/>
      <c r="X41" s="1"/>
      <c r="Y41" s="1">
        <v>3.0</v>
      </c>
      <c r="Z41" s="1">
        <v>32.0</v>
      </c>
      <c r="AA41" s="1">
        <v>33.0</v>
      </c>
      <c r="AB41" s="1">
        <v>321.0</v>
      </c>
      <c r="AD41" s="1"/>
      <c r="AE41" s="1"/>
      <c r="AF41" s="1"/>
      <c r="AG41" s="1">
        <v>3.0</v>
      </c>
      <c r="AH41" s="1">
        <v>32.0</v>
      </c>
      <c r="AI41" s="1">
        <v>33.0</v>
      </c>
      <c r="AJ41" s="1">
        <v>321.0</v>
      </c>
    </row>
    <row r="42" ht="15.75" customHeight="1">
      <c r="A42" s="1"/>
      <c r="B42" s="1"/>
      <c r="C42" s="1"/>
      <c r="D42" s="1"/>
      <c r="E42" s="235">
        <f>CONCATENATE(J26:L26)*2</f>
        <v>426</v>
      </c>
      <c r="F42" s="1">
        <v>22.0</v>
      </c>
      <c r="G42" s="1">
        <f>E41*F42</f>
        <v>9372</v>
      </c>
      <c r="H42" s="2">
        <v>2.0</v>
      </c>
      <c r="I42" s="235">
        <f>E42</f>
        <v>426</v>
      </c>
      <c r="J42" s="238">
        <f>if(H42*I40&gt;1000,H42*I40-1000, H42*I40)</f>
        <v>852</v>
      </c>
      <c r="K42" s="236"/>
      <c r="L42" s="239" t="str">
        <f>RIGHT(J41,1)</f>
        <v>6</v>
      </c>
      <c r="M42" s="239" t="str">
        <f>RIGHT(J42,1)</f>
        <v>2</v>
      </c>
      <c r="N42" s="239">
        <f>M42+1</f>
        <v>3</v>
      </c>
      <c r="O42" s="155"/>
      <c r="P42" s="155"/>
      <c r="Q42" s="155">
        <f>R49*2-Q41</f>
        <v>-67</v>
      </c>
      <c r="R42" s="155">
        <f t="shared" ref="R42:S42" si="9">R49*2-R41</f>
        <v>-96</v>
      </c>
      <c r="S42" s="155">
        <f t="shared" si="9"/>
        <v>-99</v>
      </c>
      <c r="T42" s="155">
        <f>S49*2-T41</f>
        <v>-387</v>
      </c>
      <c r="W42" s="155"/>
      <c r="X42" s="155"/>
      <c r="Y42" s="155">
        <f>Z49*2-Y41</f>
        <v>-67</v>
      </c>
      <c r="Z42" s="155">
        <f t="shared" ref="Z42:AA42" si="10">Z49*2-Z41</f>
        <v>-96</v>
      </c>
      <c r="AA42" s="155">
        <f t="shared" si="10"/>
        <v>-99</v>
      </c>
      <c r="AB42" s="155">
        <f>AA49*2-AB41</f>
        <v>-387</v>
      </c>
      <c r="AD42" s="1"/>
      <c r="AE42" s="155"/>
      <c r="AF42" s="155"/>
      <c r="AG42" s="155">
        <f>AH49*2-AG41</f>
        <v>-67</v>
      </c>
      <c r="AH42" s="155">
        <f t="shared" ref="AH42:AI42" si="11">AH49*2-AH41</f>
        <v>-96</v>
      </c>
      <c r="AI42" s="155">
        <f t="shared" si="11"/>
        <v>-99</v>
      </c>
      <c r="AJ42" s="155">
        <f>AI49*2-AJ41</f>
        <v>-387</v>
      </c>
    </row>
    <row r="43" ht="15.75" customHeight="1">
      <c r="A43" s="1">
        <v>2.0</v>
      </c>
      <c r="B43" s="1">
        <v>5.0</v>
      </c>
      <c r="D43" s="1"/>
      <c r="E43" s="141" t="s">
        <v>116</v>
      </c>
      <c r="F43" s="1"/>
      <c r="G43" s="1"/>
      <c r="H43" s="2">
        <v>3.0</v>
      </c>
      <c r="I43" s="1"/>
      <c r="J43" s="236"/>
      <c r="K43" s="240" t="str">
        <f>CONCATENATE(LEFT(J44,1),RIGHT(J44,1),LEFT(J42,1))</f>
        <v>468</v>
      </c>
      <c r="L43" s="1">
        <f>data!O8</f>
        <v>3</v>
      </c>
      <c r="M43" s="239">
        <f>LEFT(J42,1)+1</f>
        <v>9</v>
      </c>
      <c r="N43" s="239"/>
      <c r="O43" s="157"/>
      <c r="P43" s="157"/>
      <c r="Q43" s="155">
        <f>Q46-Q41</f>
        <v>-3</v>
      </c>
      <c r="R43" s="155">
        <f>Q49-R41</f>
        <v>-35</v>
      </c>
      <c r="S43" s="155">
        <f>T55-S41</f>
        <v>-354</v>
      </c>
      <c r="T43" s="155">
        <f>T55-T41</f>
        <v>-642</v>
      </c>
      <c r="W43" s="157"/>
      <c r="X43" s="157"/>
      <c r="Y43" s="155">
        <f>Y46-Y41</f>
        <v>-3</v>
      </c>
      <c r="Z43" s="155">
        <f>Y49-Z41</f>
        <v>-35</v>
      </c>
      <c r="AA43" s="155">
        <f>AB55-AA41</f>
        <v>-354</v>
      </c>
      <c r="AB43" s="155">
        <f>AB55-AB41</f>
        <v>-642</v>
      </c>
      <c r="AD43" s="1"/>
      <c r="AE43" s="157"/>
      <c r="AF43" s="157"/>
      <c r="AG43" s="155">
        <f>AG46-AG41</f>
        <v>-3</v>
      </c>
      <c r="AH43" s="155">
        <f>AG49-AH41</f>
        <v>-35</v>
      </c>
      <c r="AI43" s="155">
        <f>AJ55-AI41</f>
        <v>-33</v>
      </c>
      <c r="AJ43" s="155">
        <f>AJ55-AJ41</f>
        <v>-321</v>
      </c>
    </row>
    <row r="44" ht="15.75" customHeight="1">
      <c r="A44" s="1"/>
      <c r="B44" s="1"/>
      <c r="D44" s="1" t="s">
        <v>120</v>
      </c>
      <c r="E44" s="241">
        <v>703.0</v>
      </c>
      <c r="F44" s="1">
        <v>38.0</v>
      </c>
      <c r="G44" s="1">
        <f>E44*F44</f>
        <v>26714</v>
      </c>
      <c r="I44" s="1"/>
      <c r="J44" s="236">
        <f>I42*H41</f>
        <v>426</v>
      </c>
      <c r="K44" s="240" t="str">
        <f>CONCATENATE(MID(J41,3,1),mid(J41,2,1),left(J45,1))</f>
        <v>628</v>
      </c>
      <c r="L44" s="1"/>
      <c r="M44" s="239" t="str">
        <f>LEFT(J45,1)</f>
        <v>8</v>
      </c>
      <c r="N44" s="38" t="str">
        <f>MID(J45,2,1)</f>
        <v>5</v>
      </c>
      <c r="O44" s="157"/>
      <c r="P44" s="157"/>
      <c r="Q44" s="155"/>
      <c r="R44" s="155"/>
      <c r="S44" s="155"/>
      <c r="T44" s="155"/>
      <c r="W44" s="157"/>
      <c r="X44" s="157"/>
      <c r="Y44" s="155"/>
      <c r="Z44" s="155"/>
      <c r="AA44" s="155"/>
      <c r="AB44" s="155"/>
      <c r="AD44" s="1"/>
      <c r="AE44" s="157"/>
      <c r="AF44" s="157"/>
      <c r="AG44" s="155"/>
      <c r="AH44" s="155"/>
      <c r="AI44" s="155"/>
      <c r="AJ44" s="155"/>
    </row>
    <row r="45" ht="15.75" customHeight="1">
      <c r="A45" s="1">
        <v>86.0</v>
      </c>
      <c r="B45" s="242">
        <v>46097.0</v>
      </c>
      <c r="C45" s="1">
        <v>867.0</v>
      </c>
      <c r="D45" s="1">
        <v>842.0</v>
      </c>
      <c r="E45" s="1"/>
      <c r="F45" s="1">
        <v>70.0</v>
      </c>
      <c r="G45" s="1">
        <f>E44*F45</f>
        <v>49210</v>
      </c>
      <c r="J45" s="238">
        <f>if(H42*I42&gt;1000,H42*I42-1000, H42*I42)</f>
        <v>852</v>
      </c>
      <c r="L45" s="1"/>
      <c r="M45" s="236"/>
      <c r="N45" s="239"/>
      <c r="O45" s="157" t="str">
        <f>AC129</f>
        <v/>
      </c>
      <c r="P45" s="157"/>
      <c r="Q45" s="155"/>
      <c r="R45" s="155"/>
      <c r="S45" s="155"/>
      <c r="T45" s="155"/>
      <c r="W45" s="157">
        <v>390.0</v>
      </c>
      <c r="X45" s="157"/>
      <c r="Y45" s="155"/>
      <c r="Z45" s="155"/>
      <c r="AA45" s="155"/>
      <c r="AB45" s="155"/>
      <c r="AD45" s="1"/>
      <c r="AE45" s="157">
        <v>70.0</v>
      </c>
      <c r="AF45" s="157"/>
      <c r="AG45" s="155"/>
      <c r="AH45" s="155"/>
      <c r="AI45" s="155"/>
      <c r="AJ45" s="155"/>
    </row>
    <row r="46" ht="15.75" customHeight="1">
      <c r="A46" s="1"/>
      <c r="B46" s="1"/>
      <c r="C46" s="1"/>
      <c r="D46" s="1"/>
      <c r="E46" s="120">
        <v>339.0</v>
      </c>
      <c r="F46" s="1">
        <v>38.0</v>
      </c>
      <c r="G46" s="1">
        <f>A45*F46</f>
        <v>3268</v>
      </c>
      <c r="J46" s="236"/>
      <c r="K46" s="236"/>
      <c r="L46" s="239"/>
      <c r="M46" s="239"/>
      <c r="N46" s="239"/>
      <c r="O46" s="155">
        <f>if(O45*2&gt;1000, O45*2-1000, O45*2)</f>
        <v>0</v>
      </c>
      <c r="P46" s="155"/>
      <c r="Q46" s="2">
        <f>$O$45*2-P49</f>
        <v>0</v>
      </c>
      <c r="R46" s="2">
        <f t="shared" ref="R46:T46" si="12">$O$45*2-R41</f>
        <v>-32</v>
      </c>
      <c r="S46" s="2">
        <f t="shared" si="12"/>
        <v>-33</v>
      </c>
      <c r="T46" s="2">
        <f t="shared" si="12"/>
        <v>-321</v>
      </c>
      <c r="W46" s="155">
        <f>if(W45*2&gt;1000, W45*2-1000, W45*2)</f>
        <v>780</v>
      </c>
      <c r="X46" s="155"/>
      <c r="Y46" s="2">
        <f>$O$45*2-X49</f>
        <v>0</v>
      </c>
      <c r="Z46" s="2">
        <f t="shared" ref="Z46:AB46" si="13">$O$45*2-Z41</f>
        <v>-32</v>
      </c>
      <c r="AA46" s="2">
        <f t="shared" si="13"/>
        <v>-33</v>
      </c>
      <c r="AB46" s="2">
        <f t="shared" si="13"/>
        <v>-321</v>
      </c>
      <c r="AD46" s="1"/>
      <c r="AE46" s="155">
        <f>if(AE45*2&gt;1000, AE45*2-1000, AE45*2)</f>
        <v>140</v>
      </c>
      <c r="AF46" s="155"/>
      <c r="AG46" s="2">
        <f>$O$45*2-AF49</f>
        <v>0</v>
      </c>
      <c r="AH46" s="2">
        <f t="shared" ref="AH46:AJ46" si="14">$O$45*2-AH41</f>
        <v>-32</v>
      </c>
      <c r="AI46" s="2">
        <f t="shared" si="14"/>
        <v>-33</v>
      </c>
      <c r="AJ46" s="2">
        <f t="shared" si="14"/>
        <v>-321</v>
      </c>
    </row>
    <row r="47" ht="15.75" customHeight="1">
      <c r="A47" s="2">
        <v>632.0</v>
      </c>
      <c r="B47" s="1"/>
      <c r="C47" s="1"/>
      <c r="D47" s="1"/>
      <c r="E47" s="1"/>
      <c r="F47" s="1">
        <v>70.0</v>
      </c>
      <c r="G47" s="1">
        <f>A45*F47</f>
        <v>6020</v>
      </c>
      <c r="J47" s="240" t="s">
        <v>64</v>
      </c>
      <c r="K47" s="243" t="str">
        <f>Concatenate(left(J41,1),right(J41,1)+1)</f>
        <v>47</v>
      </c>
      <c r="L47" s="1"/>
      <c r="M47" s="244"/>
      <c r="N47" s="213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>
        <f>A47</f>
        <v>632</v>
      </c>
      <c r="I48" s="1"/>
      <c r="J48" s="239"/>
      <c r="K48" s="239" t="str">
        <f>LEFT(K43,2)</f>
        <v>46</v>
      </c>
      <c r="L48" s="239"/>
      <c r="M48" s="244"/>
      <c r="N48" s="244"/>
      <c r="O48" s="157" t="str">
        <f>AD129</f>
        <v/>
      </c>
      <c r="P48" s="157"/>
      <c r="Q48" s="155"/>
      <c r="R48" s="155"/>
      <c r="S48" s="155"/>
      <c r="T48" s="155"/>
      <c r="W48" s="157">
        <v>780.0</v>
      </c>
      <c r="X48" s="157"/>
      <c r="Y48" s="155"/>
      <c r="Z48" s="155"/>
      <c r="AA48" s="155"/>
      <c r="AB48" s="155"/>
      <c r="AD48" s="1"/>
      <c r="AE48" s="157">
        <v>50.0</v>
      </c>
      <c r="AF48" s="157"/>
      <c r="AG48" s="155"/>
      <c r="AH48" s="155"/>
      <c r="AI48" s="155"/>
      <c r="AJ48" s="155"/>
    </row>
    <row r="49" ht="15.75" customHeight="1">
      <c r="A49" s="1">
        <v>87.0</v>
      </c>
      <c r="B49" s="1"/>
      <c r="C49" s="1"/>
      <c r="D49" s="1"/>
      <c r="E49" s="1"/>
      <c r="F49" s="1"/>
      <c r="G49" s="1"/>
      <c r="H49" s="1">
        <f>305</f>
        <v>305</v>
      </c>
      <c r="J49" s="236"/>
      <c r="K49" s="239" t="str">
        <f>MID(J41,3,2)</f>
        <v>6</v>
      </c>
      <c r="L49" s="239"/>
      <c r="M49" s="244"/>
      <c r="N49" s="239" t="str">
        <f>RIGHT(J45,1)</f>
        <v>2</v>
      </c>
      <c r="O49" s="155">
        <f>if(O48*2&gt;1000, O48*2-1000, O48*2)</f>
        <v>0</v>
      </c>
      <c r="P49" s="155"/>
      <c r="Q49" s="21">
        <f t="shared" ref="Q49:T49" si="15">$O$48*2-Q41</f>
        <v>-3</v>
      </c>
      <c r="R49" s="21">
        <f t="shared" si="15"/>
        <v>-32</v>
      </c>
      <c r="S49" s="2">
        <f t="shared" si="15"/>
        <v>-33</v>
      </c>
      <c r="T49" s="2">
        <f t="shared" si="15"/>
        <v>-321</v>
      </c>
      <c r="U49" s="1"/>
      <c r="V49" s="1"/>
      <c r="W49" s="155">
        <f>if(W48*2&gt;1000, W48*2-1000, W48*2)</f>
        <v>560</v>
      </c>
      <c r="X49" s="155"/>
      <c r="Y49" s="21">
        <f t="shared" ref="Y49:AB49" si="16">$O$48*2-Y41</f>
        <v>-3</v>
      </c>
      <c r="Z49" s="21">
        <f t="shared" si="16"/>
        <v>-32</v>
      </c>
      <c r="AA49" s="2">
        <f t="shared" si="16"/>
        <v>-33</v>
      </c>
      <c r="AB49" s="2">
        <f t="shared" si="16"/>
        <v>-321</v>
      </c>
      <c r="AC49" s="1"/>
      <c r="AD49" s="1"/>
      <c r="AE49" s="155">
        <f>if(AE48*2&gt;1000, AE48*2-1000, AE48*2)</f>
        <v>100</v>
      </c>
      <c r="AF49" s="155"/>
      <c r="AG49" s="21">
        <f t="shared" ref="AG49:AJ49" si="17">$O$48*2-AG41</f>
        <v>-3</v>
      </c>
      <c r="AH49" s="21">
        <f t="shared" si="17"/>
        <v>-32</v>
      </c>
      <c r="AI49" s="2">
        <f t="shared" si="17"/>
        <v>-33</v>
      </c>
      <c r="AJ49" s="2">
        <f t="shared" si="17"/>
        <v>-321</v>
      </c>
      <c r="AK49" s="1"/>
    </row>
    <row r="50" ht="15.75" customHeight="1">
      <c r="A50" s="1"/>
      <c r="B50" s="1"/>
      <c r="C50" s="1"/>
      <c r="D50" s="1"/>
      <c r="E50" s="1"/>
      <c r="F50" s="1"/>
      <c r="G50" s="1"/>
      <c r="H50" s="1">
        <f>5038</f>
        <v>5038</v>
      </c>
      <c r="I50" s="1"/>
      <c r="K50" s="38" t="str">
        <f>MID(J41,2,2)</f>
        <v>26</v>
      </c>
      <c r="L50" s="239"/>
      <c r="M50" s="213"/>
      <c r="N50" s="244" t="str">
        <f>LEFT(J42,1)</f>
        <v>8</v>
      </c>
      <c r="O50" s="236"/>
      <c r="P50" s="236"/>
      <c r="Q50" s="236"/>
      <c r="R50" s="236" t="s">
        <v>121</v>
      </c>
      <c r="S50" s="236"/>
      <c r="T50" s="236"/>
      <c r="U50" s="1"/>
      <c r="V50" s="1"/>
      <c r="W50" s="236"/>
      <c r="X50" s="236"/>
      <c r="Y50" s="236"/>
      <c r="Z50" s="236" t="s">
        <v>121</v>
      </c>
      <c r="AA50" s="236"/>
      <c r="AB50" s="236"/>
      <c r="AC50" s="1"/>
      <c r="AD50" s="1"/>
      <c r="AE50" s="236"/>
      <c r="AF50" s="236"/>
      <c r="AG50" s="236"/>
      <c r="AH50" s="236" t="s">
        <v>121</v>
      </c>
      <c r="AI50" s="236"/>
      <c r="AJ50" s="236"/>
      <c r="A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J51" s="245"/>
      <c r="K51" s="239" t="str">
        <f>Concatenate(MID(J45,2,1)-Mid(J44,2,1),Mid(J44,2,1))</f>
        <v>32</v>
      </c>
      <c r="L51" s="239"/>
      <c r="M51" s="244"/>
      <c r="N51" s="244"/>
      <c r="O51" s="157" t="str">
        <f>CONCATENATE(AC134:AE134)</f>
        <v>83</v>
      </c>
      <c r="P51" s="157"/>
      <c r="Q51" s="155"/>
      <c r="R51" s="155"/>
      <c r="S51" s="155"/>
      <c r="T51" s="155"/>
      <c r="U51" s="1"/>
      <c r="V51" s="1"/>
      <c r="W51" s="157">
        <v>507.0</v>
      </c>
      <c r="X51" s="157"/>
      <c r="Y51" s="155"/>
      <c r="Z51" s="155"/>
      <c r="AA51" s="155"/>
      <c r="AB51" s="155"/>
      <c r="AC51" s="1"/>
      <c r="AD51" s="1"/>
      <c r="AE51" s="157">
        <v>656.0</v>
      </c>
      <c r="AF51" s="157"/>
      <c r="AG51" s="155"/>
      <c r="AH51" s="155"/>
      <c r="AI51" s="155"/>
      <c r="AJ51" s="155"/>
      <c r="A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1"/>
      <c r="J52" s="236"/>
      <c r="K52" s="239"/>
      <c r="L52" s="239"/>
      <c r="M52" s="244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N52" s="244"/>
      <c r="O52" s="155">
        <f>if(O51*2&gt;1000, O51*2-1000, O51*2)</f>
        <v>166</v>
      </c>
      <c r="P52" s="155"/>
      <c r="Q52" s="2">
        <f t="shared" ref="Q52:T52" si="18">$O$51*2-Q41</f>
        <v>163</v>
      </c>
      <c r="R52" s="21">
        <f t="shared" si="18"/>
        <v>134</v>
      </c>
      <c r="S52" s="2">
        <f t="shared" si="18"/>
        <v>133</v>
      </c>
      <c r="T52" s="2">
        <f t="shared" si="18"/>
        <v>-155</v>
      </c>
      <c r="U52" s="1"/>
      <c r="V52" s="1"/>
      <c r="W52" s="155">
        <f>if(W51*2&gt;1000, W51*2-1000, W51*2)</f>
        <v>14</v>
      </c>
      <c r="X52" s="155"/>
      <c r="Y52" s="2">
        <f t="shared" ref="Y52:AB52" si="19">$O$51*2-Y41</f>
        <v>163</v>
      </c>
      <c r="Z52" s="21">
        <f t="shared" si="19"/>
        <v>134</v>
      </c>
      <c r="AA52" s="2">
        <f t="shared" si="19"/>
        <v>133</v>
      </c>
      <c r="AB52" s="2">
        <f t="shared" si="19"/>
        <v>-155</v>
      </c>
      <c r="AC52" s="1"/>
      <c r="AD52" s="1"/>
      <c r="AE52" s="155">
        <f>if(AE51*2&gt;1000, AE51*2-1000, AE51*2)</f>
        <v>312</v>
      </c>
      <c r="AF52" s="155"/>
      <c r="AG52" s="2">
        <f t="shared" ref="AG52:AJ52" si="20">$O$51*2-AG41</f>
        <v>163</v>
      </c>
      <c r="AH52" s="21">
        <f t="shared" si="20"/>
        <v>134</v>
      </c>
      <c r="AI52" s="2">
        <f t="shared" si="20"/>
        <v>133</v>
      </c>
      <c r="AJ52" s="2">
        <f t="shared" si="20"/>
        <v>-155</v>
      </c>
      <c r="AK52" s="1"/>
    </row>
    <row r="53" ht="15.75" customHeight="1">
      <c r="A53" s="1"/>
      <c r="B53" s="1"/>
      <c r="C53" s="1"/>
      <c r="D53" s="1"/>
      <c r="E53" s="1"/>
      <c r="F53" s="1"/>
      <c r="G53" s="1"/>
      <c r="H53" s="1">
        <v>913.0</v>
      </c>
      <c r="I53" s="1"/>
      <c r="J53" s="236"/>
      <c r="K53" s="239"/>
      <c r="L53" s="239"/>
      <c r="M53" s="244"/>
      <c r="N53" s="244"/>
      <c r="O53" s="236"/>
      <c r="P53" s="236"/>
      <c r="Q53" s="236"/>
      <c r="R53" s="236"/>
      <c r="S53" s="236"/>
      <c r="T53" s="236"/>
      <c r="U53" s="1"/>
      <c r="V53" s="1"/>
      <c r="W53" s="236"/>
      <c r="X53" s="236"/>
      <c r="Y53" s="236"/>
      <c r="Z53" s="236"/>
      <c r="AA53" s="236"/>
      <c r="AB53" s="236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236"/>
      <c r="K54" s="239"/>
      <c r="L54" s="239" t="s">
        <v>122</v>
      </c>
      <c r="M54" s="244"/>
      <c r="N54" s="244"/>
      <c r="O54" s="38"/>
      <c r="P54" s="157"/>
      <c r="Q54" s="155"/>
      <c r="R54" s="155"/>
      <c r="S54" s="155"/>
      <c r="T54" s="155"/>
      <c r="U54" s="1"/>
      <c r="V54" s="1"/>
      <c r="W54" s="38"/>
      <c r="X54" s="157"/>
      <c r="Y54" s="155"/>
      <c r="Z54" s="155"/>
      <c r="AA54" s="155"/>
      <c r="AB54" s="155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">
        <v>918.0</v>
      </c>
      <c r="C55" s="1"/>
      <c r="D55" s="1"/>
      <c r="E55" s="1"/>
      <c r="F55" s="1"/>
      <c r="G55" s="1"/>
      <c r="H55" s="1"/>
      <c r="I55" s="1" t="s">
        <v>123</v>
      </c>
      <c r="J55" s="236"/>
      <c r="K55" s="239"/>
      <c r="L55" s="239"/>
      <c r="M55" s="244"/>
      <c r="N55" s="244"/>
      <c r="O55" s="155">
        <f>if(O54*2&gt;1000, O54*2-1000, O54*2)</f>
        <v>0</v>
      </c>
      <c r="P55" s="155"/>
      <c r="Q55" s="2">
        <f t="shared" ref="Q55:T55" si="21">$O$54*2-Q41</f>
        <v>-3</v>
      </c>
      <c r="R55" s="2">
        <f t="shared" si="21"/>
        <v>-32</v>
      </c>
      <c r="S55" s="2">
        <f t="shared" si="21"/>
        <v>-33</v>
      </c>
      <c r="T55" s="2">
        <f t="shared" si="21"/>
        <v>-321</v>
      </c>
      <c r="U55" s="1"/>
      <c r="V55" s="1"/>
      <c r="W55" s="155">
        <f>if(W54*2&gt;1000, W54*2-1000, W54*2)</f>
        <v>0</v>
      </c>
      <c r="X55" s="155"/>
      <c r="Y55" s="2">
        <f t="shared" ref="Y55:AB55" si="22">$O$54*2-Y41</f>
        <v>-3</v>
      </c>
      <c r="Z55" s="2">
        <f t="shared" si="22"/>
        <v>-32</v>
      </c>
      <c r="AA55" s="2">
        <f t="shared" si="22"/>
        <v>-33</v>
      </c>
      <c r="AB55" s="2">
        <f t="shared" si="22"/>
        <v>-321</v>
      </c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">
        <v>19.0</v>
      </c>
      <c r="C56" s="1"/>
      <c r="D56" s="1"/>
      <c r="E56" s="1"/>
      <c r="F56" s="1"/>
      <c r="G56" s="1"/>
      <c r="H56" s="1"/>
      <c r="I56" s="1"/>
      <c r="J56" s="236"/>
      <c r="K56" s="239"/>
      <c r="L56" s="239"/>
      <c r="M56" s="244"/>
      <c r="N56" s="244"/>
      <c r="O56" s="239"/>
      <c r="P56" s="239"/>
      <c r="Q56" s="236"/>
      <c r="R56" s="239"/>
      <c r="S56" s="239" t="str">
        <f>L36</f>
        <v/>
      </c>
      <c r="T56" s="236"/>
      <c r="U56" s="1"/>
      <c r="V56" s="1"/>
      <c r="W56" s="239"/>
      <c r="X56" s="239"/>
      <c r="Y56" s="236"/>
      <c r="Z56" s="239"/>
      <c r="AA56" s="239" t="str">
        <f>T36</f>
        <v/>
      </c>
      <c r="AB56" s="236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>
        <v>80.0</v>
      </c>
      <c r="B57" s="1"/>
      <c r="C57" s="1"/>
      <c r="D57" s="1"/>
      <c r="E57" s="1"/>
      <c r="F57" s="1"/>
      <c r="G57" s="1"/>
      <c r="I57" s="1"/>
      <c r="J57" s="246">
        <f>(A40+A47)*2</f>
        <v>2116</v>
      </c>
      <c r="K57" s="239"/>
      <c r="L57" s="1"/>
      <c r="M57" s="213"/>
      <c r="N57" s="244"/>
      <c r="O57" s="1"/>
      <c r="P57" s="247">
        <f>O48*O51</f>
        <v>0</v>
      </c>
      <c r="Q57" s="247">
        <f>O45*O48</f>
        <v>0</v>
      </c>
      <c r="R57" s="247">
        <f>O45*O51</f>
        <v>0</v>
      </c>
      <c r="S57" s="1"/>
      <c r="T57" s="1"/>
      <c r="U57" s="1"/>
      <c r="V57" s="1"/>
      <c r="W57" s="1"/>
      <c r="X57" s="247">
        <f>W48*W51</f>
        <v>395460</v>
      </c>
      <c r="Y57" s="247">
        <f>W45*W48</f>
        <v>304200</v>
      </c>
      <c r="Z57" s="247">
        <f>W45*W51</f>
        <v>197730</v>
      </c>
      <c r="AA57" s="1"/>
      <c r="AB57" s="1"/>
      <c r="AC57" s="1"/>
      <c r="AD57" s="1"/>
      <c r="AE57" s="1"/>
      <c r="AF57" s="247">
        <f>AE48*AE51</f>
        <v>32800</v>
      </c>
      <c r="AG57" s="247">
        <f>AE45*AE48</f>
        <v>3500</v>
      </c>
      <c r="AH57" s="247">
        <f>AE45*AE51</f>
        <v>45920</v>
      </c>
      <c r="AI57" s="1"/>
      <c r="AJ57" s="1"/>
      <c r="A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239"/>
      <c r="K58" s="236"/>
      <c r="L58" s="1"/>
      <c r="M58" s="1"/>
      <c r="N58" s="1"/>
      <c r="O58" s="1"/>
      <c r="P58" s="247">
        <f>O54*O45</f>
        <v>0</v>
      </c>
      <c r="Q58" s="247"/>
      <c r="R58" s="247"/>
      <c r="S58" s="1"/>
      <c r="T58" s="1"/>
      <c r="U58" s="1"/>
      <c r="V58" s="1"/>
      <c r="W58" s="1"/>
      <c r="X58" s="247">
        <f>W54*W45</f>
        <v>0</v>
      </c>
      <c r="Y58" s="247"/>
      <c r="Z58" s="247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"/>
      <c r="C59" s="1"/>
      <c r="D59" s="1"/>
      <c r="E59" s="1"/>
      <c r="F59" s="1"/>
      <c r="G59" s="1">
        <v>445.0</v>
      </c>
      <c r="H59" s="2">
        <f t="shared" ref="H59:H62" si="23">SQRTPI(J59)</f>
        <v>175.8217043</v>
      </c>
      <c r="J59" s="21">
        <f>A57*123</f>
        <v>9840</v>
      </c>
      <c r="K59" s="236"/>
      <c r="L59" s="1"/>
      <c r="M59" s="1"/>
      <c r="N59" s="1"/>
      <c r="O59" s="1">
        <f>O45*O48</f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237" t="s">
        <v>90</v>
      </c>
      <c r="AA59" s="237"/>
      <c r="AB59" s="237" t="s">
        <v>92</v>
      </c>
      <c r="AC59" s="1"/>
      <c r="AD59" s="223" t="s">
        <v>124</v>
      </c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2">
        <f t="shared" si="23"/>
        <v>284.035384</v>
      </c>
      <c r="I60" s="1"/>
      <c r="J60" s="245">
        <f>A57*321</f>
        <v>25680</v>
      </c>
      <c r="K60" s="239"/>
      <c r="L60" s="1" t="str">
        <f>left(J52,3) </f>
        <v/>
      </c>
      <c r="M60" s="1" t="str">
        <f>right(L60,  2)</f>
        <v/>
      </c>
      <c r="N60" s="1" t="s">
        <v>12</v>
      </c>
      <c r="O60" s="1">
        <f>O45*LEFT(O48,1)</f>
        <v>0</v>
      </c>
      <c r="P60" s="1"/>
      <c r="Q60" s="1"/>
      <c r="R60" s="1" t="str">
        <f>T55*N60</f>
        <v>#VALUE!</v>
      </c>
      <c r="S60" s="1"/>
      <c r="T60" s="1" t="str">
        <f>right(T52, 1)</f>
        <v>5</v>
      </c>
      <c r="U60" s="1" t="str">
        <f>T60-left(T52, 1)</f>
        <v>#VALUE!</v>
      </c>
      <c r="V60" s="1"/>
      <c r="W60" s="1"/>
      <c r="X60" s="1"/>
      <c r="Y60" s="1"/>
      <c r="Z60" s="29" t="str">
        <f>#REF!</f>
        <v>#REF!</v>
      </c>
      <c r="AA60" s="38" t="str">
        <f>data!A4</f>
        <v>1</v>
      </c>
      <c r="AB60" s="38" t="str">
        <f>K34</f>
        <v>0</v>
      </c>
      <c r="AC60" s="1"/>
      <c r="AD60" s="1" t="str">
        <f t="shared" ref="AD60:AD70" si="24">Z60*AA60</f>
        <v>#REF!</v>
      </c>
      <c r="AE60" s="1" t="str">
        <f t="shared" ref="AE60:AE63" si="25">AD60-1</f>
        <v>#REF!</v>
      </c>
      <c r="AF60" s="1"/>
      <c r="AG60" s="1"/>
      <c r="AH60" s="1"/>
      <c r="AI60" s="1"/>
      <c r="AJ60" s="1"/>
      <c r="AK60" s="1"/>
    </row>
    <row r="61" ht="15.75" customHeight="1">
      <c r="A61" s="1"/>
      <c r="B61" s="1"/>
      <c r="C61" s="1"/>
      <c r="D61" s="1"/>
      <c r="E61" s="1"/>
      <c r="F61" s="1"/>
      <c r="G61" s="1"/>
      <c r="H61" s="2">
        <f t="shared" si="23"/>
        <v>120.7352058</v>
      </c>
      <c r="I61" s="1"/>
      <c r="J61" s="240">
        <f>A57*58</f>
        <v>4640</v>
      </c>
      <c r="K61" s="248" t="s">
        <v>73</v>
      </c>
      <c r="L61" s="1">
        <f>L60+100</f>
        <v>100</v>
      </c>
      <c r="M61" s="1"/>
      <c r="N61" s="1"/>
      <c r="O61" s="1">
        <f>O45*right(O48, 1)</f>
        <v>0</v>
      </c>
      <c r="P61" s="1"/>
      <c r="Q61" s="1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R61" s="1">
        <f>T55*N61</f>
        <v>0</v>
      </c>
      <c r="S61" s="1"/>
      <c r="T61" s="38" t="str">
        <f>right(S65, 1)</f>
        <v>9</v>
      </c>
      <c r="U61" s="1" t="str">
        <f>right(O48, 1)</f>
        <v/>
      </c>
      <c r="V61" s="1" t="str">
        <f>right(O45, 1)</f>
        <v/>
      </c>
      <c r="W61" s="1"/>
      <c r="X61" s="1"/>
      <c r="Y61" s="1"/>
      <c r="Z61" s="38">
        <f>J38</f>
        <v>2</v>
      </c>
      <c r="AA61" s="38" t="str">
        <f>I17</f>
        <v>0</v>
      </c>
      <c r="AB61" s="38"/>
      <c r="AC61" s="1"/>
      <c r="AD61" s="1">
        <f t="shared" si="24"/>
        <v>0</v>
      </c>
      <c r="AE61" s="1">
        <f t="shared" si="25"/>
        <v>-1</v>
      </c>
      <c r="AF61" s="1"/>
      <c r="AG61" s="1"/>
      <c r="AH61" s="1"/>
      <c r="AI61" s="1"/>
      <c r="AJ61" s="1"/>
      <c r="AK61" s="1"/>
    </row>
    <row r="62" ht="15.75" customHeight="1">
      <c r="A62" s="1"/>
      <c r="B62" s="1"/>
      <c r="C62" s="1"/>
      <c r="D62" s="1"/>
      <c r="E62" s="1"/>
      <c r="F62" s="1"/>
      <c r="G62" s="1"/>
      <c r="H62" s="2">
        <f t="shared" si="23"/>
        <v>141.7963081</v>
      </c>
      <c r="I62" s="1"/>
      <c r="J62" s="236">
        <f>A57*A57</f>
        <v>6400</v>
      </c>
      <c r="K62" s="236"/>
      <c r="L62" s="239" t="str">
        <f>concatenate(mid(N48,1,1)+mid(N48,2,1),mid(N48,2,1))</f>
        <v>0</v>
      </c>
      <c r="M62" s="1"/>
      <c r="N62" s="1"/>
      <c r="O62" s="1">
        <f>O45*(right(O48, 1)+1)</f>
        <v>0</v>
      </c>
      <c r="P62" s="1"/>
      <c r="Q62" s="1"/>
      <c r="R62" s="1">
        <f>T55*N62</f>
        <v>0</v>
      </c>
      <c r="S62" s="1"/>
      <c r="T62" s="1"/>
      <c r="U62" s="1"/>
      <c r="V62" s="1"/>
      <c r="W62" s="1"/>
      <c r="X62" s="1"/>
      <c r="Y62" s="1"/>
      <c r="Z62" s="38" t="str">
        <f>'Copy of data'!B6</f>
        <v>8</v>
      </c>
      <c r="AA62" s="38"/>
      <c r="AB62" s="38"/>
      <c r="AC62" s="1"/>
      <c r="AD62" s="1">
        <f t="shared" si="24"/>
        <v>0</v>
      </c>
      <c r="AE62" s="1">
        <f t="shared" si="25"/>
        <v>-1</v>
      </c>
      <c r="AF62" s="1"/>
      <c r="AG62" s="1"/>
      <c r="AH62" s="1"/>
      <c r="AI62" s="1"/>
      <c r="AJ62" s="1"/>
      <c r="A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>
        <f>J61+J62</f>
        <v>11040</v>
      </c>
      <c r="K63" s="249" t="str">
        <f t="shared" ref="K63:L63" si="26">right(J63,  2)</f>
        <v>40</v>
      </c>
      <c r="L63" s="38" t="str">
        <f t="shared" si="26"/>
        <v>40</v>
      </c>
      <c r="N63" s="1"/>
      <c r="O63" s="1">
        <f>O46*(right(O48, 1)+2)</f>
        <v>0</v>
      </c>
      <c r="P63" s="1"/>
      <c r="Q63" s="1"/>
      <c r="R63" s="1"/>
      <c r="S63" s="1"/>
      <c r="T63" s="1" t="str">
        <f>right(R52,  2)</f>
        <v>34</v>
      </c>
      <c r="U63" s="1" t="str">
        <f>right(Q46,  2)</f>
        <v>0</v>
      </c>
      <c r="V63" s="1" t="str">
        <f>left(Q52,2)</f>
        <v>16</v>
      </c>
      <c r="W63" s="1">
        <f>V63-10</f>
        <v>6</v>
      </c>
      <c r="X63" s="1"/>
      <c r="Y63" s="1"/>
      <c r="Z63" s="38">
        <f>J34-1</f>
        <v>0</v>
      </c>
      <c r="AA63" s="38"/>
      <c r="AB63" s="38"/>
      <c r="AC63" s="1"/>
      <c r="AD63" s="1">
        <f t="shared" si="24"/>
        <v>0</v>
      </c>
      <c r="AE63" s="1">
        <f t="shared" si="25"/>
        <v>-1</v>
      </c>
      <c r="AF63" s="1"/>
      <c r="AG63" s="1"/>
      <c r="AH63" s="1"/>
      <c r="AI63" s="1"/>
      <c r="AJ63" s="1"/>
      <c r="AK63" s="1"/>
    </row>
    <row r="64" ht="15.75" customHeight="1">
      <c r="A64" s="1"/>
      <c r="B64" s="1"/>
      <c r="C64" s="1"/>
      <c r="D64" s="1"/>
      <c r="E64" s="1"/>
      <c r="F64" s="1"/>
      <c r="G64" s="1">
        <v>844.0</v>
      </c>
      <c r="H64" s="2">
        <f>SQRTPI(G64)</f>
        <v>51.49275871</v>
      </c>
      <c r="I64" s="1"/>
      <c r="J64" s="1">
        <f>J61-J62</f>
        <v>-1760</v>
      </c>
      <c r="K64" s="1" t="str">
        <f>right(J64,  2)</f>
        <v>60</v>
      </c>
      <c r="L64" s="1">
        <f>L59+10</f>
        <v>10</v>
      </c>
      <c r="M64" s="1"/>
      <c r="O64" s="1"/>
      <c r="P64" s="1"/>
      <c r="Q64" s="1">
        <v>54.0</v>
      </c>
      <c r="R64" s="1"/>
      <c r="S64" s="1"/>
      <c r="T64" s="1" t="str">
        <f>V61</f>
        <v/>
      </c>
      <c r="U64" s="1" t="str">
        <f>Left(T55, 1)</f>
        <v>-</v>
      </c>
      <c r="V64" s="1" t="str">
        <f>T64*U64</f>
        <v>#VALUE!</v>
      </c>
      <c r="W64" s="1"/>
      <c r="X64" s="1"/>
      <c r="Y64" s="1"/>
      <c r="Z64" s="61">
        <f>K37</f>
        <v>8</v>
      </c>
      <c r="AA64" s="1" t="str">
        <f>#REF!</f>
        <v>#REF!</v>
      </c>
      <c r="AB64" s="1" t="str">
        <f>data!D7</f>
        <v/>
      </c>
      <c r="AC64" s="1"/>
      <c r="AD64" s="1" t="str">
        <f t="shared" si="24"/>
        <v>#REF!</v>
      </c>
      <c r="AE64" s="1" t="str">
        <f>AD64-10</f>
        <v>#REF!</v>
      </c>
      <c r="AF64" s="1"/>
      <c r="AG64" s="1"/>
      <c r="AH64" s="1"/>
      <c r="AI64" s="1"/>
      <c r="AJ64" s="1"/>
      <c r="A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>
        <f>J63+J64</f>
        <v>9280</v>
      </c>
      <c r="K65" s="29" t="str">
        <f>left(J63,2)</f>
        <v>11</v>
      </c>
      <c r="L65" s="1">
        <f>L63-10</f>
        <v>30</v>
      </c>
      <c r="M65" s="1"/>
      <c r="N65" s="1"/>
      <c r="O65" s="1"/>
      <c r="P65" s="1"/>
      <c r="Q65" s="1">
        <v>45.0</v>
      </c>
      <c r="R65" s="1"/>
      <c r="S65" s="157">
        <v>379.0</v>
      </c>
      <c r="T65" s="1">
        <f>T61-1</f>
        <v>8</v>
      </c>
      <c r="U65" s="1">
        <f>T60-1</f>
        <v>4</v>
      </c>
      <c r="V65" s="1" t="str">
        <f>U60</f>
        <v>#VALUE!</v>
      </c>
      <c r="W65" s="1"/>
      <c r="X65" s="1"/>
      <c r="Y65" s="1"/>
      <c r="Z65" s="61">
        <f>L33</f>
        <v>9</v>
      </c>
      <c r="AA65" s="1">
        <f>J33-1</f>
        <v>-1</v>
      </c>
      <c r="AB65" s="1" t="str">
        <f>K33</f>
        <v>1</v>
      </c>
      <c r="AC65" s="1"/>
      <c r="AD65" s="61">
        <f t="shared" si="24"/>
        <v>-9</v>
      </c>
      <c r="AE65" s="61">
        <f t="shared" ref="AE65:AE70" si="27">AD65-1</f>
        <v>-10</v>
      </c>
      <c r="AF65" s="1"/>
      <c r="AG65" s="1"/>
      <c r="AH65" s="1"/>
      <c r="AI65" s="1"/>
      <c r="AJ65" s="1"/>
      <c r="A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 t="str">
        <f>concatenate(mid(K65, 2,1), mid(K65, 1,1))</f>
        <v>11</v>
      </c>
      <c r="L66" s="1"/>
      <c r="M66" s="1"/>
      <c r="N66" s="1"/>
      <c r="O66" s="1"/>
      <c r="P66" s="1"/>
      <c r="Q66" s="1">
        <v>95.0</v>
      </c>
      <c r="R66" s="1">
        <v>151.0</v>
      </c>
      <c r="S66" s="1"/>
      <c r="T66" s="1" t="str">
        <f>U60</f>
        <v>#VALUE!</v>
      </c>
      <c r="U66" s="1">
        <f>T61+1</f>
        <v>10</v>
      </c>
      <c r="V66" s="1">
        <f>T61-T60</f>
        <v>4</v>
      </c>
      <c r="W66" s="1"/>
      <c r="X66" s="1"/>
      <c r="Y66" s="1"/>
      <c r="Z66" s="1" t="str">
        <f>J33</f>
        <v/>
      </c>
      <c r="AA66" s="1">
        <f>K33-1</f>
        <v>0</v>
      </c>
      <c r="AB66" s="1">
        <f>Z66-L33</f>
        <v>-9</v>
      </c>
      <c r="AC66" s="1"/>
      <c r="AD66" s="1">
        <f t="shared" si="24"/>
        <v>0</v>
      </c>
      <c r="AE66" s="1">
        <f t="shared" si="27"/>
        <v>-1</v>
      </c>
      <c r="AF66" s="1"/>
      <c r="AG66" s="1"/>
      <c r="AH66" s="1"/>
      <c r="AI66" s="1"/>
      <c r="AJ66" s="1"/>
      <c r="AK66" s="1"/>
    </row>
    <row r="67" ht="15.75" customHeight="1">
      <c r="A67" s="1"/>
      <c r="B67" s="1"/>
      <c r="C67" s="1"/>
      <c r="D67" s="1"/>
      <c r="E67" s="1"/>
      <c r="F67" s="1" t="s">
        <v>125</v>
      </c>
      <c r="G67" s="1"/>
      <c r="H67" s="1" t="s">
        <v>115</v>
      </c>
      <c r="I67" s="1"/>
      <c r="J67" s="1"/>
      <c r="K67" s="1" t="str">
        <f>left(J61,2)</f>
        <v>46</v>
      </c>
      <c r="L67" s="1" t="s">
        <v>126</v>
      </c>
      <c r="M67" s="29" t="str">
        <f>concatenate(mid(M52, 2,1), mid(M52, 1,1))</f>
        <v>=AI("Fill an appropriate value for this cell based on the table context")</v>
      </c>
      <c r="N67" s="29" t="str">
        <f>M53</f>
        <v/>
      </c>
      <c r="O67" s="1"/>
      <c r="P67" s="1"/>
      <c r="Q67" s="1">
        <v>65.0</v>
      </c>
      <c r="R67" s="1">
        <v>136.0</v>
      </c>
      <c r="S67" s="1"/>
      <c r="T67" s="225" t="str">
        <f>left(V63, 1)</f>
        <v>1</v>
      </c>
      <c r="U67" s="225" t="str">
        <f t="shared" ref="U67:V67" si="28">left(T63, 1)</f>
        <v>3</v>
      </c>
      <c r="V67" s="225" t="str">
        <f t="shared" si="28"/>
        <v>0</v>
      </c>
      <c r="W67" s="1"/>
      <c r="X67" s="1"/>
      <c r="Y67" s="1"/>
      <c r="Z67" s="1"/>
      <c r="AA67" s="1" t="str">
        <f>K33</f>
        <v>1</v>
      </c>
      <c r="AB67" s="1">
        <f>J33+1</f>
        <v>1</v>
      </c>
      <c r="AC67" s="1"/>
      <c r="AD67" s="1">
        <f t="shared" si="24"/>
        <v>0</v>
      </c>
      <c r="AE67" s="1">
        <f t="shared" si="27"/>
        <v>-1</v>
      </c>
      <c r="AF67" s="1"/>
      <c r="AG67" s="1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47" t="s">
        <v>127</v>
      </c>
      <c r="J68" s="247" t="s">
        <v>128</v>
      </c>
      <c r="K68" s="1" t="str">
        <f>left(J64,2)</f>
        <v>-1</v>
      </c>
      <c r="L68" s="1" t="s">
        <v>129</v>
      </c>
      <c r="M68" s="29">
        <f>L46+9</f>
        <v>9</v>
      </c>
      <c r="N68" s="1" t="str">
        <f>N55</f>
        <v/>
      </c>
      <c r="O68" s="1"/>
      <c r="P68" s="1"/>
      <c r="Q68" s="1"/>
      <c r="R68" s="1"/>
      <c r="S68" s="1"/>
      <c r="T68" s="1" t="str">
        <f>right(O52, 1)</f>
        <v>6</v>
      </c>
      <c r="U68" s="1">
        <f>right(O49, 1)-1</f>
        <v>-1</v>
      </c>
      <c r="V68" s="231">
        <f>U68+right(O46,1) </f>
        <v>-1</v>
      </c>
      <c r="W68" s="1"/>
      <c r="X68" s="1"/>
      <c r="Y68" s="1"/>
      <c r="Z68" s="1">
        <f>L26+1</f>
        <v>4</v>
      </c>
      <c r="AA68" s="1" t="str">
        <f>K26</f>
        <v>1</v>
      </c>
      <c r="AB68" s="1" t="str">
        <f>I26</f>
        <v>0</v>
      </c>
      <c r="AC68" s="1"/>
      <c r="AD68" s="61">
        <f t="shared" si="24"/>
        <v>4</v>
      </c>
      <c r="AE68" s="61">
        <f t="shared" si="27"/>
        <v>3</v>
      </c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 t="s">
        <v>130</v>
      </c>
      <c r="G69" s="1">
        <v>8.0</v>
      </c>
      <c r="H69" s="1" t="s">
        <v>130</v>
      </c>
      <c r="I69" s="1" t="str">
        <f>right(J60,  2)</f>
        <v>80</v>
      </c>
      <c r="J69" s="1" t="str">
        <f>left(J62,2)</f>
        <v>64</v>
      </c>
      <c r="K69" s="1" t="str">
        <f>concatenate(mid(K68, 2,1), mid(K68, 1,1))</f>
        <v>1-</v>
      </c>
      <c r="L69" s="1"/>
      <c r="M69" s="1">
        <f>L47+2</f>
        <v>2</v>
      </c>
      <c r="N69" s="1" t="str">
        <f>M55</f>
        <v/>
      </c>
      <c r="O69" s="239" t="str">
        <f>concatenate(I34, J33, I33)</f>
        <v>#DIV/0!</v>
      </c>
      <c r="P69" s="239"/>
      <c r="Q69" s="1" t="s">
        <v>131</v>
      </c>
      <c r="R69" s="1"/>
      <c r="S69" s="1"/>
      <c r="T69" s="1" t="str">
        <f>U61</f>
        <v/>
      </c>
      <c r="U69" s="1">
        <f>T61+9</f>
        <v>18</v>
      </c>
      <c r="V69" s="1" t="str">
        <f>V61</f>
        <v/>
      </c>
      <c r="W69" s="1"/>
      <c r="X69" s="1"/>
      <c r="Y69" s="1"/>
      <c r="Z69" s="1">
        <f>J26</f>
        <v>2</v>
      </c>
      <c r="AA69" s="1">
        <f>Z69+L26</f>
        <v>5</v>
      </c>
      <c r="AB69" s="1"/>
      <c r="AC69" s="1"/>
      <c r="AD69" s="1">
        <f t="shared" si="24"/>
        <v>10</v>
      </c>
      <c r="AE69" s="1">
        <f t="shared" si="27"/>
        <v>9</v>
      </c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 t="s">
        <v>132</v>
      </c>
      <c r="G70" s="1"/>
      <c r="H70" s="1"/>
      <c r="I70" s="1" t="str">
        <f>concatenate(mid(I69, 2,1), mid(I69, 1,1))</f>
        <v>08</v>
      </c>
      <c r="J70" s="1" t="str">
        <f>right(J61,  2)</f>
        <v>40</v>
      </c>
      <c r="K70" s="1" t="str">
        <f>left(J53,2)</f>
        <v/>
      </c>
      <c r="L70" s="1"/>
      <c r="M70" s="1" t="str">
        <f>M53</f>
        <v/>
      </c>
      <c r="N70" s="1">
        <f>M68</f>
        <v>9</v>
      </c>
      <c r="O70" s="1"/>
      <c r="P70" s="1"/>
      <c r="Q70" s="1"/>
      <c r="R70" s="1"/>
      <c r="S70" s="1"/>
      <c r="T70" s="1" t="str">
        <f>T68</f>
        <v>6</v>
      </c>
      <c r="U70" s="1">
        <f>T70-U67</f>
        <v>3</v>
      </c>
      <c r="V70" s="1">
        <f>U68</f>
        <v>-1</v>
      </c>
      <c r="W70" s="1"/>
      <c r="X70" s="1"/>
      <c r="Y70" s="1"/>
      <c r="Z70" s="61">
        <f>IF(J33="5",8,J33+1)</f>
        <v>1</v>
      </c>
      <c r="AA70" s="1" t="str">
        <f>K33</f>
        <v>1</v>
      </c>
      <c r="AB70" s="1">
        <f>I34</f>
        <v>1</v>
      </c>
      <c r="AC70" s="1"/>
      <c r="AD70" s="1">
        <f t="shared" si="24"/>
        <v>1</v>
      </c>
      <c r="AE70" s="1">
        <f t="shared" si="27"/>
        <v>0</v>
      </c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 t="s">
        <v>133</v>
      </c>
      <c r="G71" s="1"/>
      <c r="H71" s="1"/>
      <c r="I71" s="1" t="str">
        <f>left(I50,2)</f>
        <v/>
      </c>
      <c r="J71" s="29">
        <f>K63-1</f>
        <v>39</v>
      </c>
      <c r="K71" s="21">
        <f>L49+90</f>
        <v>90</v>
      </c>
      <c r="L71" s="1"/>
      <c r="M71" s="1">
        <f>L52+1</f>
        <v>1</v>
      </c>
      <c r="N71" s="1">
        <f>N52+10</f>
        <v>10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61">
        <f>Z64</f>
        <v>8</v>
      </c>
      <c r="AA71" s="1">
        <f>Z63</f>
        <v>0</v>
      </c>
      <c r="AB71" s="1">
        <f>Z62-1</f>
        <v>7</v>
      </c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9" t="str">
        <f>N47</f>
        <v/>
      </c>
      <c r="J72" s="29">
        <f>K64+10</f>
        <v>70</v>
      </c>
      <c r="K72" s="29">
        <f>M57+10</f>
        <v>10</v>
      </c>
      <c r="L72" s="1"/>
      <c r="M72" s="1">
        <f>L46-11</f>
        <v>-11</v>
      </c>
      <c r="N72" s="1">
        <f>N69-50</f>
        <v>-50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61">
        <f>AA71</f>
        <v>0</v>
      </c>
      <c r="AA72" s="1" t="str">
        <f>AA70</f>
        <v>1</v>
      </c>
      <c r="AB72" s="1">
        <f>AA69-1</f>
        <v>4</v>
      </c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9"/>
      <c r="J73" s="29"/>
      <c r="K73" s="2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6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9">
        <f>I72+1</f>
        <v>1</v>
      </c>
      <c r="J74" s="1"/>
      <c r="K74" s="1">
        <v>886.0</v>
      </c>
      <c r="L74" s="1"/>
      <c r="M74" s="1">
        <f>M68-1</f>
        <v>8</v>
      </c>
      <c r="N74" s="1" t="str">
        <f>M52</f>
        <v>=AI("Fill an appropriate value for this cell based on the table context")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 t="str">
        <f>#REF!</f>
        <v>#REF!</v>
      </c>
      <c r="AA74" s="1">
        <f>data!D7+1</f>
        <v>1</v>
      </c>
      <c r="AB74" s="1">
        <f>data!A7-1</f>
        <v>-1</v>
      </c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>
        <v>1.0</v>
      </c>
      <c r="G75" s="1" t="s">
        <v>133</v>
      </c>
      <c r="H75" s="1" t="s">
        <v>132</v>
      </c>
      <c r="I75" s="29">
        <f>I72+10</f>
        <v>10</v>
      </c>
      <c r="J75" s="1"/>
      <c r="K75" s="1">
        <v>692.0</v>
      </c>
      <c r="L75" s="1"/>
      <c r="M75" s="1"/>
      <c r="N75" s="1">
        <f>M71+11</f>
        <v>12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>
        <v>2.0</v>
      </c>
      <c r="G76" s="1">
        <v>6.0</v>
      </c>
      <c r="H76" s="1" t="s">
        <v>130</v>
      </c>
      <c r="I76" s="29" t="str">
        <f>concatenate(mid(K64, 2,1), mid(K64, 1,1))</f>
        <v>06</v>
      </c>
      <c r="J76" s="1"/>
      <c r="K76" s="29">
        <f>I69-1</f>
        <v>79</v>
      </c>
      <c r="L76" s="1"/>
      <c r="M76" s="1"/>
      <c r="N76" s="1">
        <f>M72-11</f>
        <v>-22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>
        <v>7.0</v>
      </c>
      <c r="AD76" s="1" t="s">
        <v>111</v>
      </c>
      <c r="AE76" s="1" t="s">
        <v>113</v>
      </c>
      <c r="AF76" s="1"/>
      <c r="AG76" s="1" t="str">
        <f>Z82</f>
        <v>44</v>
      </c>
      <c r="AH76" s="1"/>
      <c r="AI76" s="1" t="s">
        <v>26</v>
      </c>
      <c r="AJ76" s="250">
        <v>0.625</v>
      </c>
      <c r="AK76" s="1"/>
    </row>
    <row r="77" ht="15.75" customHeight="1">
      <c r="A77" s="1"/>
      <c r="B77" s="1"/>
      <c r="C77" s="1"/>
      <c r="D77" s="1"/>
      <c r="E77" s="1"/>
      <c r="F77" s="1">
        <v>6.0</v>
      </c>
      <c r="G77" s="1">
        <v>3.0</v>
      </c>
      <c r="H77" s="1" t="s">
        <v>134</v>
      </c>
      <c r="I77" s="29" t="str">
        <f>L54</f>
        <v>Sometime, C, B interchange</v>
      </c>
      <c r="J77" s="1"/>
      <c r="K77" s="29">
        <f>L65</f>
        <v>30</v>
      </c>
      <c r="L77" s="1" t="s">
        <v>135</v>
      </c>
      <c r="M77" s="1">
        <f>L58-1</f>
        <v>-1</v>
      </c>
      <c r="N77" s="29" t="str">
        <f>L57</f>
        <v/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29">
        <f>AB71</f>
        <v>7</v>
      </c>
      <c r="Z77" s="1">
        <f>AB72</f>
        <v>4</v>
      </c>
      <c r="AA77" s="1">
        <f>AB72</f>
        <v>4</v>
      </c>
      <c r="AB77" s="1"/>
      <c r="AC77" s="1"/>
      <c r="AD77" s="1"/>
      <c r="AE77" s="1"/>
      <c r="AF77" s="1"/>
      <c r="AG77" s="61" t="str">
        <f>Z86</f>
        <v>10</v>
      </c>
      <c r="AH77" s="1"/>
      <c r="AI77" s="1" t="s">
        <v>38</v>
      </c>
      <c r="AJ77" s="250">
        <v>0.5416666666666666</v>
      </c>
      <c r="AK77" s="1"/>
    </row>
    <row r="78" ht="15.75" customHeight="1">
      <c r="A78" s="1"/>
      <c r="B78" s="1"/>
      <c r="C78" s="1"/>
      <c r="D78" s="1"/>
      <c r="E78" s="1"/>
      <c r="F78" s="1"/>
      <c r="G78" s="1">
        <v>3.0</v>
      </c>
      <c r="H78" s="1"/>
      <c r="I78" s="61" t="str">
        <f>left(J59,2)</f>
        <v>98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f>AB74+1</f>
        <v>0</v>
      </c>
      <c r="AA78" s="1">
        <f>AB71</f>
        <v>7</v>
      </c>
      <c r="AB78" s="1"/>
      <c r="AC78" s="1"/>
      <c r="AD78" s="1"/>
      <c r="AE78" s="1"/>
      <c r="AF78" s="1"/>
      <c r="AG78" s="61" t="str">
        <f>Z84</f>
        <v>80</v>
      </c>
      <c r="AH78" s="1"/>
      <c r="AI78" s="1" t="s">
        <v>64</v>
      </c>
      <c r="AJ78" s="250">
        <v>0.5416666666666666</v>
      </c>
      <c r="AK78" s="1"/>
    </row>
    <row r="79" ht="15.75" customHeight="1">
      <c r="A79" s="1"/>
      <c r="B79" s="1"/>
      <c r="C79" s="1"/>
      <c r="D79" s="1"/>
      <c r="E79" s="1"/>
      <c r="F79" s="1"/>
      <c r="G79" s="1" t="s">
        <v>130</v>
      </c>
      <c r="H79" s="1">
        <v>8.0</v>
      </c>
      <c r="I79" s="1"/>
      <c r="J79" s="1"/>
      <c r="K79" s="1"/>
      <c r="L79" s="1"/>
      <c r="M79" s="1"/>
      <c r="N79" s="1"/>
      <c r="O79" s="1"/>
      <c r="P79" s="1" t="s">
        <v>136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61" t="str">
        <f>CONCAT(Z69,Z71)</f>
        <v>28</v>
      </c>
      <c r="AH79" s="1"/>
      <c r="AI79" s="1" t="s">
        <v>64</v>
      </c>
      <c r="AJ79" s="250">
        <v>0.625</v>
      </c>
      <c r="AK79" s="1"/>
    </row>
    <row r="80" ht="15.75" customHeight="1">
      <c r="A80" s="1"/>
      <c r="B80" s="1"/>
      <c r="C80" s="1"/>
      <c r="D80" s="1"/>
      <c r="E80" s="1"/>
      <c r="F80" s="1"/>
      <c r="G80" s="1">
        <v>7.0</v>
      </c>
      <c r="H80" s="1" t="s">
        <v>130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40" t="s">
        <v>64</v>
      </c>
      <c r="Y80" s="140" t="str">
        <f>CONCAT(AD70,AE70)</f>
        <v>10</v>
      </c>
      <c r="Z80" s="1" t="str">
        <f>CONCAT(AA78,Z77)</f>
        <v>74</v>
      </c>
      <c r="AA80" s="1">
        <f>left(Z80, 1)+RIGHT(Z80,1)</f>
        <v>11</v>
      </c>
      <c r="AB80" s="1"/>
      <c r="AC80" s="1"/>
      <c r="AD80" s="1"/>
      <c r="AE80" s="1"/>
      <c r="AF80" s="1"/>
      <c r="AG80" s="1">
        <f>U70</f>
        <v>3</v>
      </c>
      <c r="AH80" s="1"/>
      <c r="AI80" s="1" t="s">
        <v>33</v>
      </c>
      <c r="AJ80" s="250">
        <v>0.75</v>
      </c>
      <c r="AK80" s="1"/>
    </row>
    <row r="81" ht="15.75" customHeight="1">
      <c r="A81" s="1"/>
      <c r="B81" s="1"/>
      <c r="C81" s="1"/>
      <c r="D81" s="1"/>
      <c r="E81" s="1"/>
      <c r="F81" s="1">
        <v>6.0</v>
      </c>
      <c r="G81" s="1">
        <v>6.0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>
        <f>V68</f>
        <v>-1</v>
      </c>
      <c r="AH81" s="1"/>
      <c r="AI81" s="1" t="s">
        <v>63</v>
      </c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I82" s="1"/>
      <c r="J82" s="1"/>
      <c r="K82" s="1"/>
      <c r="L82" s="1"/>
      <c r="M82" s="1"/>
      <c r="N82" s="1"/>
      <c r="O82" s="1">
        <f>Q72*R79</f>
        <v>0</v>
      </c>
      <c r="P82" s="1"/>
      <c r="Q82" s="1"/>
      <c r="R82" s="1"/>
      <c r="S82" s="1"/>
      <c r="U82" s="1"/>
      <c r="V82" s="1"/>
      <c r="W82" s="1"/>
      <c r="X82" s="251" t="s">
        <v>38</v>
      </c>
      <c r="Y82" s="204" t="str">
        <f>CONCAT(K26,L26)</f>
        <v>13</v>
      </c>
      <c r="Z82" s="1" t="str">
        <f>CONCAT(Z77,AA77)</f>
        <v>44</v>
      </c>
      <c r="AA82" s="1"/>
      <c r="AB82" s="1"/>
      <c r="AC82" s="1"/>
      <c r="AD82" s="1"/>
      <c r="AE82" s="1"/>
      <c r="AF82" s="1"/>
      <c r="AG82" s="1">
        <f>AE70</f>
        <v>0</v>
      </c>
      <c r="AH82" s="1"/>
      <c r="AI82" s="1" t="s">
        <v>137</v>
      </c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>
        <f>SQRTPI(63)</f>
        <v>14.0684163</v>
      </c>
      <c r="J83" s="1"/>
      <c r="K83" s="1"/>
      <c r="L83" s="1"/>
      <c r="M83" s="1"/>
      <c r="N83" s="1"/>
      <c r="O83" s="1"/>
      <c r="P83" s="1"/>
      <c r="Q83" s="1"/>
      <c r="R83" s="1"/>
      <c r="S83" s="1"/>
      <c r="U83" s="1"/>
      <c r="V83" s="1"/>
      <c r="W83" s="1"/>
      <c r="X83" s="1"/>
      <c r="Y83" s="140" t="str">
        <f>CONCAT(AE69,AE70)</f>
        <v>90</v>
      </c>
      <c r="Z83" s="1"/>
      <c r="AA83" s="1"/>
      <c r="AB83" s="1"/>
      <c r="AC83" s="1"/>
      <c r="AD83" s="1"/>
      <c r="AE83" s="1"/>
      <c r="AF83" s="1"/>
      <c r="AG83" s="61" t="str">
        <f>CONCATENATE(RIGHT(AA86,1),LEFT(AA86,1))</f>
        <v>99</v>
      </c>
      <c r="AH83" s="1"/>
      <c r="AI83" s="1" t="s">
        <v>64</v>
      </c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55</v>
      </c>
      <c r="S84" s="1">
        <f>SUM(P57:S58)</f>
        <v>0</v>
      </c>
      <c r="U84" s="1"/>
      <c r="V84" s="1">
        <f>sum(X57:Z58)</f>
        <v>897390</v>
      </c>
      <c r="W84" s="1"/>
      <c r="X84" s="1"/>
      <c r="Y84" s="140" t="str">
        <f>CONCAT(AA74,AB74)</f>
        <v>1-1</v>
      </c>
      <c r="Z84" s="1" t="str">
        <f>concatenate(Z71, AA71)</f>
        <v>80</v>
      </c>
      <c r="AA84" s="1"/>
      <c r="AB84" s="1"/>
      <c r="AC84" s="1"/>
      <c r="AD84" s="1" t="s">
        <v>33</v>
      </c>
      <c r="AE84" s="1" t="s">
        <v>88</v>
      </c>
      <c r="AF84" s="1" t="s">
        <v>63</v>
      </c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U85" s="1"/>
      <c r="V85" s="1"/>
      <c r="W85" s="1"/>
      <c r="X85" s="1"/>
      <c r="Y85" s="1">
        <f>O30</f>
        <v>6</v>
      </c>
      <c r="Z85" s="1"/>
      <c r="AA85" s="1">
        <f>O31</f>
        <v>9</v>
      </c>
      <c r="AB85" s="1"/>
      <c r="AC85" s="1"/>
      <c r="AD85" s="1">
        <f>AG80</f>
        <v>3</v>
      </c>
      <c r="AE85" s="61">
        <f>AG82</f>
        <v>0</v>
      </c>
      <c r="AF85" s="1">
        <f>AG81</f>
        <v>-1</v>
      </c>
      <c r="AG85" s="1"/>
      <c r="AH85" s="1" t="s">
        <v>138</v>
      </c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2" t="s">
        <v>86</v>
      </c>
      <c r="S86" s="2">
        <f>AVERAGE(P57:R58)</f>
        <v>0</v>
      </c>
      <c r="U86" s="1"/>
      <c r="V86" s="1">
        <f>AVERAGE(X57:Z58)</f>
        <v>224347.5</v>
      </c>
      <c r="W86" s="1"/>
      <c r="X86" s="1"/>
      <c r="Y86" s="1">
        <f>W46</f>
        <v>780</v>
      </c>
      <c r="Z86" s="1" t="str">
        <f t="shared" ref="Z86:AA86" si="29">right(AD69,  2)</f>
        <v>10</v>
      </c>
      <c r="AA86" s="1" t="str">
        <f t="shared" si="29"/>
        <v>9</v>
      </c>
      <c r="AB86" s="1" t="s">
        <v>12</v>
      </c>
      <c r="AC86" s="1">
        <v>8.0</v>
      </c>
      <c r="AD86" s="1" t="s">
        <v>139</v>
      </c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U87" s="1"/>
      <c r="V87" s="1"/>
      <c r="W87" s="1"/>
      <c r="X87" s="1"/>
      <c r="Y87" s="1" t="str">
        <f>concatenate(Y78, AA78)</f>
        <v>07</v>
      </c>
      <c r="Z87" s="1"/>
      <c r="AA87" s="1"/>
      <c r="AB87" s="1"/>
      <c r="AC87" s="1"/>
      <c r="AD87" s="1"/>
      <c r="AE87" s="1"/>
      <c r="AF87" s="1"/>
      <c r="AG87" s="61" t="str">
        <f>CONCATENATE(MID(O59,2,1),RIGHT(O59,1))</f>
        <v>0</v>
      </c>
      <c r="AH87" s="1"/>
      <c r="AI87" s="1" t="s">
        <v>140</v>
      </c>
      <c r="AJ87" s="250">
        <v>0.75</v>
      </c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87</v>
      </c>
      <c r="S88" s="1">
        <f>max(P57:R58)</f>
        <v>0</v>
      </c>
      <c r="U88" s="1"/>
      <c r="V88" s="1">
        <f>MAX(X57:Z58)</f>
        <v>395460</v>
      </c>
      <c r="W88" s="1"/>
      <c r="X88" s="1"/>
      <c r="Y88" s="1" t="str">
        <f>AA72</f>
        <v>1</v>
      </c>
      <c r="Z88" s="1"/>
      <c r="AA88" s="1"/>
      <c r="AB88" s="1"/>
      <c r="AC88" s="1"/>
      <c r="AD88" s="1"/>
      <c r="AE88" s="1"/>
      <c r="AF88" s="1"/>
      <c r="AG88" s="1" t="str">
        <f>CONCAT(RIGHT(O60,1),MID(O60,2,1))</f>
        <v>0</v>
      </c>
      <c r="AH88" s="1"/>
      <c r="AI88" s="1" t="s">
        <v>38</v>
      </c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61">
        <f>Y78</f>
        <v>0</v>
      </c>
      <c r="AG90" s="1">
        <f>Z77</f>
        <v>4</v>
      </c>
      <c r="AH90" s="1"/>
      <c r="AI90" s="1" t="s">
        <v>127</v>
      </c>
      <c r="AJ90" s="250">
        <v>0.8333333333333334</v>
      </c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U91" s="1"/>
      <c r="V91" s="1"/>
      <c r="AC91" s="1">
        <v>9.0</v>
      </c>
      <c r="AD91" s="1" t="s">
        <v>141</v>
      </c>
      <c r="AE91" s="1"/>
      <c r="AF91" s="1">
        <f t="shared" ref="AF91:AG91" si="30">AA74</f>
        <v>1</v>
      </c>
      <c r="AG91" s="1">
        <f t="shared" si="30"/>
        <v>-1</v>
      </c>
      <c r="AH91" s="1"/>
      <c r="AI91" s="1" t="s">
        <v>127</v>
      </c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U92" s="1"/>
      <c r="V92" s="1"/>
      <c r="AC92" s="1"/>
      <c r="AD92" s="1"/>
      <c r="AE92" s="1"/>
      <c r="AF92" s="61">
        <f>AG91</f>
        <v>-1</v>
      </c>
      <c r="AG92" s="1" t="str">
        <f>left(AG78, 1)</f>
        <v>8</v>
      </c>
      <c r="AH92" s="1" t="str">
        <f>right(AG77, 1)</f>
        <v>0</v>
      </c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>
        <f t="shared" ref="W93:AB93" si="31">W95-1</f>
        <v>7</v>
      </c>
      <c r="X93" s="1">
        <f t="shared" si="31"/>
        <v>8</v>
      </c>
      <c r="Y93" s="1">
        <f t="shared" si="31"/>
        <v>-1</v>
      </c>
      <c r="Z93" s="1">
        <f t="shared" si="31"/>
        <v>3</v>
      </c>
      <c r="AA93" s="1">
        <f t="shared" si="31"/>
        <v>0</v>
      </c>
      <c r="AB93" s="1">
        <f t="shared" si="31"/>
        <v>1</v>
      </c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 t="str">
        <f>S72</f>
        <v/>
      </c>
      <c r="Q94" s="1"/>
      <c r="R94" s="1"/>
      <c r="S94" s="1"/>
      <c r="T94" s="1"/>
      <c r="U94" s="1"/>
      <c r="V94" s="1"/>
      <c r="AC94" s="1">
        <v>10.0</v>
      </c>
      <c r="AD94" s="1" t="s">
        <v>107</v>
      </c>
      <c r="AE94" s="1"/>
      <c r="AF94" s="1" t="str">
        <f>RIGHT(W105,1)</f>
        <v>7</v>
      </c>
      <c r="AG94" s="1"/>
      <c r="AH94" s="1"/>
      <c r="AI94" s="1" t="s">
        <v>33</v>
      </c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 t="str">
        <f>Q74</f>
        <v/>
      </c>
      <c r="O95" s="1"/>
      <c r="P95" s="1"/>
      <c r="Q95" s="1"/>
      <c r="R95" s="1"/>
      <c r="S95" s="1"/>
      <c r="T95" s="1"/>
      <c r="U95" s="1"/>
      <c r="V95" s="1"/>
      <c r="W95" s="1">
        <f>X95-1</f>
        <v>8</v>
      </c>
      <c r="X95" s="1">
        <f>if(Y95=0,9,Y95)</f>
        <v>9</v>
      </c>
      <c r="Y95" s="61">
        <v>0.0</v>
      </c>
      <c r="Z95" s="61">
        <v>4.0</v>
      </c>
      <c r="AA95" s="1">
        <f>Y95+1</f>
        <v>1</v>
      </c>
      <c r="AB95" s="1">
        <f>AA95+1</f>
        <v>2</v>
      </c>
      <c r="AC95" s="1"/>
      <c r="AD95" s="1"/>
      <c r="AE95" s="1"/>
      <c r="AF95" s="1" t="str">
        <f>RIGHT(T52,2)</f>
        <v>55</v>
      </c>
      <c r="AG95" s="1"/>
      <c r="AH95" s="1"/>
      <c r="AI95" s="1" t="s">
        <v>64</v>
      </c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 t="str">
        <f>Q72</f>
        <v/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 t="str">
        <f>LEFT(W105,2)</f>
        <v>30</v>
      </c>
      <c r="AG96" s="1"/>
      <c r="AH96" s="1"/>
      <c r="AI96" s="1" t="s">
        <v>26</v>
      </c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>
        <f t="shared" ref="W97:AB97" si="32">W95+1</f>
        <v>9</v>
      </c>
      <c r="X97" s="1">
        <f t="shared" si="32"/>
        <v>10</v>
      </c>
      <c r="Y97" s="1">
        <f t="shared" si="32"/>
        <v>1</v>
      </c>
      <c r="Z97" s="1">
        <f t="shared" si="32"/>
        <v>5</v>
      </c>
      <c r="AA97" s="1">
        <f t="shared" si="32"/>
        <v>2</v>
      </c>
      <c r="AB97" s="1">
        <f t="shared" si="32"/>
        <v>3</v>
      </c>
      <c r="AC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>
        <f>sum(N95:N96)</f>
        <v>0</v>
      </c>
      <c r="O98" s="1">
        <v>53.0</v>
      </c>
      <c r="P98" s="1">
        <f>N95+O98</f>
        <v>53</v>
      </c>
      <c r="Q98" s="1"/>
      <c r="R98" s="1"/>
      <c r="S98" s="1"/>
      <c r="T98" s="1"/>
      <c r="U98" s="1"/>
      <c r="V98" s="1" t="s">
        <v>142</v>
      </c>
      <c r="W98" s="1"/>
      <c r="X98" s="1"/>
      <c r="Y98" s="1"/>
      <c r="Z98" s="1"/>
      <c r="AA98" s="1"/>
      <c r="AB98" s="1"/>
      <c r="AC98" s="1"/>
      <c r="AD98" s="1" t="s">
        <v>143</v>
      </c>
      <c r="AE98" s="1" t="str">
        <f>LEFT(Y105,1)</f>
        <v>4</v>
      </c>
      <c r="AF98" s="1" t="str">
        <f>RIGHT(Y105,1)</f>
        <v>0</v>
      </c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49.0</v>
      </c>
      <c r="U99" s="1"/>
      <c r="V99" s="1">
        <f>T99+T100</f>
        <v>111</v>
      </c>
      <c r="W99" s="1"/>
      <c r="X99" s="1" t="s">
        <v>144</v>
      </c>
      <c r="Y99" s="1"/>
      <c r="Z99" s="1"/>
      <c r="AA99" s="1"/>
      <c r="AB99" s="1"/>
      <c r="AC99" s="1"/>
      <c r="AD99" s="1" t="s">
        <v>143</v>
      </c>
      <c r="AE99" s="1" t="str">
        <f>RIGHT(S119,1)</f>
        <v>3</v>
      </c>
      <c r="AF99" s="1" t="str">
        <f>LEFT(S119,1)</f>
        <v>1</v>
      </c>
      <c r="AG99" s="1"/>
      <c r="AH99" s="1"/>
      <c r="AI99" s="1" t="s">
        <v>64</v>
      </c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62.0</v>
      </c>
      <c r="U100" s="1"/>
      <c r="V100" s="1"/>
      <c r="W100" s="1">
        <f>V99-V101</f>
        <v>49</v>
      </c>
      <c r="X100" s="1">
        <f>V99+V101</f>
        <v>173</v>
      </c>
      <c r="Y100" s="1"/>
      <c r="Z100" s="1"/>
      <c r="AA100" s="1"/>
      <c r="AB100" s="1"/>
      <c r="AC100" s="1"/>
      <c r="AD100" s="1"/>
      <c r="AE100" s="1" t="str">
        <f>MID(Y104,3,1)</f>
        <v>9</v>
      </c>
      <c r="AF100" s="1" t="str">
        <f>LEFT(Y105,1)</f>
        <v>4</v>
      </c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>
        <v>24.0</v>
      </c>
      <c r="U101" s="1"/>
      <c r="V101" s="1">
        <f>T101+T102</f>
        <v>62</v>
      </c>
      <c r="W101" s="1"/>
      <c r="X101" s="1"/>
      <c r="Y101" s="1"/>
      <c r="Z101" s="1"/>
      <c r="AA101" s="1"/>
      <c r="AB101" s="1"/>
      <c r="AC101" s="1"/>
      <c r="AD101" s="1"/>
      <c r="AE101" s="1" t="str">
        <f>AE100</f>
        <v>9</v>
      </c>
      <c r="AF101" s="1" t="str">
        <f>MID(Y104,2,1)</f>
        <v>8</v>
      </c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>
        <v>38.0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 t="str">
        <f>left(V99, 1)</f>
        <v>1</v>
      </c>
      <c r="AF102" s="38">
        <f>AF92</f>
        <v>-1</v>
      </c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47" t="s">
        <v>145</v>
      </c>
      <c r="W103" s="247" t="s">
        <v>146</v>
      </c>
      <c r="X103" s="247" t="s">
        <v>147</v>
      </c>
      <c r="Y103" s="247" t="s">
        <v>148</v>
      </c>
      <c r="Z103" s="1"/>
      <c r="AA103" s="1"/>
      <c r="AB103" s="1"/>
      <c r="AC103" s="1"/>
      <c r="AD103" s="1" t="s">
        <v>149</v>
      </c>
      <c r="AE103" s="1">
        <f>mid(W104, 3,1)+1</f>
        <v>9</v>
      </c>
      <c r="AF103" s="1" t="str">
        <f>mid(W104, 4,1)</f>
        <v>9</v>
      </c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>
        <f>T99*T100</f>
        <v>3038</v>
      </c>
      <c r="W104" s="1">
        <f>T99*(T100-1)</f>
        <v>2989</v>
      </c>
      <c r="X104" s="1">
        <f>T99*(T100-2)</f>
        <v>2940</v>
      </c>
      <c r="Y104" s="1">
        <f>T99*(T100-3)</f>
        <v>2891</v>
      </c>
      <c r="Z104" s="1"/>
      <c r="AA104" s="1"/>
      <c r="AB104" s="1"/>
      <c r="AC104" s="1"/>
      <c r="AD104" s="1" t="s">
        <v>150</v>
      </c>
      <c r="AE104" s="1" t="str">
        <f>LEFT(X104,1)</f>
        <v>2</v>
      </c>
      <c r="AF104" s="1" t="str">
        <f>RIGHT(X104,1)</f>
        <v>0</v>
      </c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>
        <f>T99*(T100+1)</f>
        <v>3087</v>
      </c>
      <c r="X105" s="1">
        <f>T100*(T100+2)</f>
        <v>3968</v>
      </c>
      <c r="Y105" s="1">
        <f>T100*(T100+3)</f>
        <v>4030</v>
      </c>
      <c r="Z105" s="1"/>
      <c r="AA105" s="1"/>
      <c r="AB105" s="1"/>
      <c r="AC105" s="1"/>
      <c r="AD105" s="1"/>
      <c r="AE105" s="1" t="str">
        <f>LEFT(AA119,2)</f>
        <v>3.</v>
      </c>
      <c r="AF105" s="1"/>
      <c r="AG105" s="1"/>
      <c r="AH105" s="1"/>
      <c r="AI105" s="1" t="s">
        <v>64</v>
      </c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 t="str">
        <f>data!A1</f>
        <v/>
      </c>
      <c r="P108" s="2" t="str">
        <f>data!B1</f>
        <v/>
      </c>
      <c r="Q108" s="2" t="str">
        <f>data!C1</f>
        <v/>
      </c>
      <c r="W108" s="2" t="str">
        <f t="shared" ref="W108:X108" si="33">O108</f>
        <v/>
      </c>
      <c r="X108" s="2" t="str">
        <f t="shared" si="33"/>
        <v/>
      </c>
      <c r="Y108" s="2">
        <f>(Q108+1)</f>
        <v>1</v>
      </c>
      <c r="AD108" s="1"/>
      <c r="AE108" s="2" t="str">
        <f t="shared" ref="AE108:AF108" si="34">W108</f>
        <v/>
      </c>
      <c r="AF108" s="2" t="str">
        <f t="shared" si="34"/>
        <v/>
      </c>
      <c r="AG108" s="2">
        <f>(Y108+1)</f>
        <v>2</v>
      </c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S109" s="2" t="s">
        <v>81</v>
      </c>
      <c r="AA109" s="2" t="s">
        <v>81</v>
      </c>
      <c r="AD109" s="1"/>
      <c r="AI109" s="2" t="s">
        <v>81</v>
      </c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S110" s="38">
        <v>8.0</v>
      </c>
      <c r="T110" s="38">
        <f>O108-P108</f>
        <v>0</v>
      </c>
      <c r="U110" s="38">
        <f>T110+Q108</f>
        <v>0</v>
      </c>
      <c r="W110" s="2">
        <v>4.0</v>
      </c>
      <c r="X110" s="2">
        <v>0.0</v>
      </c>
      <c r="Y110" s="2">
        <v>0.0</v>
      </c>
      <c r="AA110" s="38">
        <f>S110</f>
        <v>8</v>
      </c>
      <c r="AB110" s="38">
        <f>W108-X108</f>
        <v>0</v>
      </c>
      <c r="AC110" s="38">
        <f>AB110+Y108</f>
        <v>1</v>
      </c>
      <c r="AD110" s="1"/>
      <c r="AI110" s="38">
        <v>8.0</v>
      </c>
      <c r="AJ110" s="38">
        <f>AE108-AF108</f>
        <v>0</v>
      </c>
      <c r="AK110" s="38">
        <f>AJ110+AG108</f>
        <v>2</v>
      </c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S111" s="38"/>
      <c r="T111" s="38"/>
      <c r="U111" s="38"/>
      <c r="AA111" s="38"/>
      <c r="AB111" s="38"/>
      <c r="AC111" s="38"/>
      <c r="AD111" s="1"/>
      <c r="AI111" s="38"/>
      <c r="AJ111" s="38"/>
      <c r="AK111" s="38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S112" s="38"/>
      <c r="T112" s="38"/>
      <c r="U112" s="38"/>
      <c r="AA112" s="38"/>
      <c r="AB112" s="38"/>
      <c r="AC112" s="38"/>
      <c r="AD112" s="1"/>
      <c r="AI112" s="38"/>
      <c r="AJ112" s="38"/>
      <c r="AK112" s="38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S113" s="38">
        <v>0.0</v>
      </c>
      <c r="T113" s="38" t="str">
        <f>P110</f>
        <v/>
      </c>
      <c r="U113" s="38">
        <f>T113+U110</f>
        <v>0</v>
      </c>
      <c r="AA113" s="38">
        <v>0.0</v>
      </c>
      <c r="AB113" s="38">
        <f>X110</f>
        <v>0</v>
      </c>
      <c r="AC113" s="38">
        <f>AB113+AC110</f>
        <v>1</v>
      </c>
      <c r="AD113" s="1"/>
      <c r="AI113" s="38">
        <v>0.0</v>
      </c>
      <c r="AJ113" s="38" t="str">
        <f>AF110</f>
        <v/>
      </c>
      <c r="AK113" s="38">
        <f>AJ113+AK110</f>
        <v>2</v>
      </c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S114" s="223" t="str">
        <f>left(O110, 1)</f>
        <v/>
      </c>
      <c r="T114" s="223"/>
      <c r="U114" s="223" t="str">
        <f>AD109</f>
        <v/>
      </c>
      <c r="AA114" s="223" t="str">
        <f>left(W110, 1)</f>
        <v>4</v>
      </c>
      <c r="AB114" s="223"/>
      <c r="AC114" s="223" t="str">
        <f>AL109</f>
        <v/>
      </c>
      <c r="AD114" s="1"/>
      <c r="AI114" s="223" t="str">
        <f>left(AE110, 1)</f>
        <v/>
      </c>
      <c r="AJ114" s="223"/>
      <c r="AK114" s="223" t="str">
        <f>AT109</f>
        <v/>
      </c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S115" s="38">
        <f>Q108+1</f>
        <v>1</v>
      </c>
      <c r="T115" s="38"/>
      <c r="U115" s="38" t="str">
        <f>right(Q110, 1)</f>
        <v/>
      </c>
      <c r="AA115" s="38">
        <f>Y108+1</f>
        <v>2</v>
      </c>
      <c r="AB115" s="38"/>
      <c r="AC115" s="38" t="str">
        <f>right(Y110, 1)</f>
        <v>0</v>
      </c>
      <c r="AD115" s="1"/>
      <c r="AI115" s="38">
        <f>AG108+1</f>
        <v>3</v>
      </c>
      <c r="AJ115" s="38"/>
      <c r="AK115" s="38" t="str">
        <f>right(AG110, 1)</f>
        <v/>
      </c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S118" s="2">
        <f>sum(S113:U115)</f>
        <v>1</v>
      </c>
      <c r="T118" s="2">
        <f>AVERAGE(S113:U115)</f>
        <v>0.3333333333</v>
      </c>
      <c r="AA118" s="2">
        <f>sum(AA113:AC115)</f>
        <v>3</v>
      </c>
      <c r="AB118" s="2">
        <f>AVERAGE(AA113:AC115)</f>
        <v>0.75</v>
      </c>
      <c r="AD118" s="1"/>
      <c r="AI118" s="209">
        <f>sum(AI113:AK115)</f>
        <v>5</v>
      </c>
      <c r="AJ118" s="2">
        <f>AVERAGE(AI113:AK115)</f>
        <v>1.666666667</v>
      </c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8"/>
      <c r="P119" s="2" t="s">
        <v>12</v>
      </c>
      <c r="R119" s="2" t="s">
        <v>12</v>
      </c>
      <c r="S119" s="2">
        <f>SUM(S118:T118)</f>
        <v>1.333333333</v>
      </c>
      <c r="W119" s="38"/>
      <c r="X119" s="2" t="s">
        <v>12</v>
      </c>
      <c r="Z119" s="2" t="s">
        <v>12</v>
      </c>
      <c r="AA119" s="209">
        <f>SUM(AA118:AB118)</f>
        <v>3.75</v>
      </c>
      <c r="AD119" s="1"/>
      <c r="AE119" s="38"/>
      <c r="AF119" s="2" t="s">
        <v>12</v>
      </c>
      <c r="AH119" s="2" t="s">
        <v>12</v>
      </c>
      <c r="AI119" s="2">
        <f>SUM(AI118:AJ118)</f>
        <v>6.666666667</v>
      </c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8"/>
      <c r="S120" s="2">
        <f>AVERAGE(S110:U115)</f>
        <v>1.5</v>
      </c>
      <c r="T120" s="2">
        <f>SUM(S110:U115)</f>
        <v>9</v>
      </c>
      <c r="W120" s="38"/>
      <c r="AA120" s="2">
        <f>AVERAGE(AA110:AC115)</f>
        <v>1.714285714</v>
      </c>
      <c r="AB120" s="2">
        <f>SUM(AA110:AC115)</f>
        <v>12</v>
      </c>
      <c r="AD120" s="1"/>
      <c r="AE120" s="38"/>
      <c r="AI120" s="2">
        <f>AVERAGE(AI110:AK115)</f>
        <v>2.5</v>
      </c>
      <c r="AJ120" s="2">
        <f>SUM(AI110:AK115)</f>
        <v>15</v>
      </c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47" t="s">
        <v>151</v>
      </c>
      <c r="Q124" s="1" t="str">
        <f>data!A7</f>
        <v>0</v>
      </c>
      <c r="R124" s="1" t="str">
        <f>data!A8</f>
        <v/>
      </c>
      <c r="S124" s="1">
        <f>data!B8</f>
        <v>1</v>
      </c>
      <c r="T124" s="1"/>
      <c r="U124" s="1"/>
      <c r="V124" s="247" t="s">
        <v>152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 t="str">
        <f>data!C18</f>
        <v/>
      </c>
      <c r="W125" s="1">
        <f>data!D18</f>
        <v>1</v>
      </c>
      <c r="X125" s="1" t="str">
        <f t="shared" ref="X125:X127" si="35">AG77</f>
        <v>10</v>
      </c>
      <c r="Y125" s="1" t="str">
        <f>Y82</f>
        <v>13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 t="str">
        <f>data!A7</f>
        <v>0</v>
      </c>
      <c r="R126" s="1" t="str">
        <f>data!B4</f>
        <v/>
      </c>
      <c r="S126" s="1">
        <f>data!A9</f>
        <v>0</v>
      </c>
      <c r="T126" s="1"/>
      <c r="U126" s="1"/>
      <c r="V126" s="1" t="str">
        <f>LEFT(AA120,2)</f>
        <v>1.</v>
      </c>
      <c r="W126" s="1">
        <f>AA118</f>
        <v>3</v>
      </c>
      <c r="X126" s="1" t="str">
        <f t="shared" si="35"/>
        <v>80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 t="str">
        <f>RIGHT(O46,2)</f>
        <v>0</v>
      </c>
      <c r="W127" s="1" t="str">
        <f>data!B17</f>
        <v>3</v>
      </c>
      <c r="X127" s="1" t="str">
        <f t="shared" si="35"/>
        <v>28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>
        <f>data!B8</f>
        <v>1</v>
      </c>
      <c r="R128" s="1"/>
      <c r="S128" s="1" t="str">
        <f>data!B9</f>
        <v/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47" t="s">
        <v>153</v>
      </c>
      <c r="W129" s="1"/>
      <c r="X129" s="1"/>
      <c r="Y129" s="1"/>
      <c r="Z129" s="1"/>
      <c r="AA129" s="1"/>
      <c r="AB129" s="1"/>
      <c r="AC129" s="252"/>
      <c r="AD129" s="252"/>
      <c r="AE129" s="252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 t="str">
        <f>data!B9</f>
        <v/>
      </c>
      <c r="R130" s="1"/>
      <c r="S130" s="1">
        <f>data!B8</f>
        <v>1</v>
      </c>
      <c r="T130" s="1"/>
      <c r="U130" s="1"/>
      <c r="V130" s="247">
        <f>RIGHT(AI118,1)-1</f>
        <v>4</v>
      </c>
      <c r="W130" s="247">
        <f>RIGHT(AI120,1)-1</f>
        <v>4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52"/>
      <c r="AD131" s="252"/>
      <c r="AE131" s="252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>
        <f>data!B7</f>
        <v>0</v>
      </c>
      <c r="R133" s="1">
        <f>data!B8</f>
        <v>1</v>
      </c>
      <c r="S133" s="1" t="str">
        <f>data!B9</f>
        <v/>
      </c>
      <c r="T133" s="1"/>
      <c r="U133" s="1"/>
      <c r="V133" s="1"/>
      <c r="W133" s="1"/>
      <c r="X133" s="1"/>
      <c r="Y133" s="1"/>
      <c r="Z133" s="1"/>
      <c r="AA133" s="1"/>
      <c r="AB133" s="1" t="s">
        <v>154</v>
      </c>
      <c r="AC133" s="253">
        <v>0.0</v>
      </c>
      <c r="AD133" s="252">
        <v>0.0</v>
      </c>
      <c r="AE133" s="252">
        <v>0.0</v>
      </c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 t="s">
        <v>155</v>
      </c>
      <c r="W134" s="1"/>
      <c r="X134" s="247" t="s">
        <v>90</v>
      </c>
      <c r="Y134" s="247" t="s">
        <v>91</v>
      </c>
      <c r="Z134" s="247" t="s">
        <v>92</v>
      </c>
      <c r="AA134" s="1"/>
      <c r="AB134" s="1" t="s">
        <v>156</v>
      </c>
      <c r="AC134" s="253">
        <v>8.0</v>
      </c>
      <c r="AD134" s="252">
        <v>3.0</v>
      </c>
      <c r="AE134" s="252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 t="str">
        <f>data!B17</f>
        <v>3</v>
      </c>
      <c r="R135" s="1"/>
      <c r="S135" s="1" t="str">
        <f>CONCAT(RIGHT(data!A28,1),left(data!A28,1))</f>
        <v/>
      </c>
      <c r="T135" s="247" t="s">
        <v>157</v>
      </c>
      <c r="U135" s="1"/>
      <c r="V135" s="1"/>
      <c r="W135" s="1"/>
      <c r="X135" s="254" t="str">
        <f t="shared" ref="X135:Z135" si="36">AC131</f>
        <v/>
      </c>
      <c r="Y135" s="254" t="str">
        <f t="shared" si="36"/>
        <v/>
      </c>
      <c r="Z135" s="1" t="str">
        <f t="shared" si="36"/>
        <v/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>
        <f>Y135-1</f>
        <v>-1</v>
      </c>
      <c r="Y136" s="1" t="str">
        <f>Z135</f>
        <v/>
      </c>
      <c r="Z136" s="1"/>
      <c r="AA136" s="1"/>
      <c r="AB136" s="1" t="s">
        <v>158</v>
      </c>
      <c r="AC136" s="1" t="str">
        <f>CONCAT(AD134,AE134)</f>
        <v>3</v>
      </c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47"/>
      <c r="Q137" s="247" t="str">
        <f> CONCATENATE(data!A8," or ",'Copy of Copy of Copy of data'!A6, " or ",'Copy of Copy of data'!A6)</f>
        <v>#REF!</v>
      </c>
      <c r="R137" s="247" t="str">
        <f> Concatenate(data!A7," or ", data!A7-1)</f>
        <v>0 or -1</v>
      </c>
      <c r="S137" s="247">
        <f>data!B7</f>
        <v>0</v>
      </c>
      <c r="T137" s="1"/>
      <c r="U137" s="1"/>
      <c r="V137" s="1"/>
      <c r="W137" s="1"/>
      <c r="X137" s="1">
        <f>X136+Y136</f>
        <v>-1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47"/>
      <c r="Q138" s="11"/>
      <c r="R138" s="11"/>
      <c r="S138" s="1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47"/>
      <c r="Q139" s="247">
        <f>data!A9</f>
        <v>0</v>
      </c>
      <c r="R139" s="247" t="str">
        <f>data!B9</f>
        <v/>
      </c>
      <c r="S139" s="247">
        <f>data!B8</f>
        <v>1</v>
      </c>
      <c r="T139" s="1"/>
      <c r="U139" s="1"/>
      <c r="V139" s="1"/>
      <c r="W139" s="1"/>
      <c r="X139" s="247" t="s">
        <v>90</v>
      </c>
      <c r="Y139" s="247" t="s">
        <v>91</v>
      </c>
      <c r="Z139" s="247" t="s">
        <v>92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47"/>
      <c r="Q140" s="247">
        <f>H31</f>
        <v>1</v>
      </c>
      <c r="R140" s="247"/>
      <c r="S140" s="247"/>
      <c r="T140" s="1"/>
      <c r="U140" s="1"/>
      <c r="V140" s="1"/>
      <c r="W140" s="1"/>
      <c r="X140" s="1">
        <f t="shared" ref="X140:Z140" si="37">AC133</f>
        <v>0</v>
      </c>
      <c r="Y140" s="1">
        <f t="shared" si="37"/>
        <v>0</v>
      </c>
      <c r="Z140" s="1">
        <f t="shared" si="37"/>
        <v>0</v>
      </c>
      <c r="AA140" s="1"/>
      <c r="AB140" s="1"/>
      <c r="AC140" s="1"/>
      <c r="AD140" s="252">
        <v>712.0</v>
      </c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47"/>
      <c r="Q141" s="247" t="str">
        <f>CONCATENATE('Copy of Copy of data'!A6, " or ", 3)</f>
        <v>8 or 3</v>
      </c>
      <c r="R141" s="247" t="str">
        <f>'Copy of data 1'!A7</f>
        <v>0</v>
      </c>
      <c r="S141" s="247" t="str">
        <f>LEFT('Copy of Copy of Copy of Copy of data'!A10,1)</f>
        <v>#REF!</v>
      </c>
      <c r="T141" s="1"/>
      <c r="U141" s="1"/>
      <c r="V141" s="1"/>
      <c r="W141" s="1"/>
      <c r="X141" s="1">
        <f>Y140-1</f>
        <v>-1</v>
      </c>
      <c r="Y141" s="1">
        <f>Z140</f>
        <v>0</v>
      </c>
      <c r="Z141" s="1"/>
      <c r="AA141" s="1"/>
      <c r="AB141" s="1"/>
      <c r="AC141" s="1"/>
      <c r="AD141" s="252">
        <v>0.0</v>
      </c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47"/>
      <c r="Q142" s="247"/>
      <c r="R142" s="247"/>
      <c r="S142" s="247"/>
      <c r="T142" s="1"/>
      <c r="U142" s="1"/>
      <c r="V142" s="1"/>
      <c r="W142" s="1"/>
      <c r="X142" s="1">
        <f>X141+Y141</f>
        <v>-1</v>
      </c>
      <c r="Y142" s="1"/>
      <c r="Z142" s="1"/>
      <c r="AA142" s="1"/>
      <c r="AB142" s="1"/>
      <c r="AC142" s="1"/>
      <c r="AD142" s="1">
        <f>AD140-AD141</f>
        <v>712</v>
      </c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47"/>
      <c r="Q143" s="247">
        <f>'Copy of data'!A6+1</f>
        <v>4</v>
      </c>
      <c r="R143" s="247" t="str">
        <f>data!A7</f>
        <v>0</v>
      </c>
      <c r="S143" s="247">
        <f>'Copy of Copy of data'!A6-1</f>
        <v>7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>
        <f>Q143</f>
        <v>4</v>
      </c>
      <c r="R144" s="1" t="str">
        <f>data!A8</f>
        <v/>
      </c>
      <c r="S144" s="1" t="str">
        <f>R143</f>
        <v>0</v>
      </c>
      <c r="T144" s="1"/>
      <c r="U144" s="1"/>
      <c r="V144" s="1"/>
      <c r="W144" s="1"/>
      <c r="X144" s="247" t="s">
        <v>90</v>
      </c>
      <c r="Y144" s="247" t="s">
        <v>91</v>
      </c>
      <c r="Z144" s="247" t="s">
        <v>92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>
        <f t="shared" ref="X145:Z145" si="38">AC134</f>
        <v>8</v>
      </c>
      <c r="Y145" s="1">
        <f t="shared" si="38"/>
        <v>3</v>
      </c>
      <c r="Z145" s="1" t="str">
        <f t="shared" si="38"/>
        <v/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>
        <f>Y145-1</f>
        <v>2</v>
      </c>
      <c r="Y146" s="1" t="str">
        <f>Z145</f>
        <v/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>
        <f>X146+Y146</f>
        <v>2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47" t="str">
        <f t="shared" ref="V150:Z150" si="39">'Copy of Copy of Copy of data'!A9</f>
        <v>#REF!</v>
      </c>
      <c r="W150" s="1" t="str">
        <f t="shared" si="39"/>
        <v>#REF!</v>
      </c>
      <c r="X150" s="1" t="str">
        <f t="shared" si="39"/>
        <v>#REF!</v>
      </c>
      <c r="Y150" s="1" t="str">
        <f t="shared" si="39"/>
        <v>#REF!</v>
      </c>
      <c r="Z150" s="1" t="str">
        <f t="shared" si="39"/>
        <v>#REF!</v>
      </c>
      <c r="AA150" s="1"/>
      <c r="AB150" s="1"/>
      <c r="AC150" s="247" t="str">
        <f t="shared" ref="AC150:AG150" si="40">'Copy of Copy of Copy of Copy of data'!A9</f>
        <v>#REF!</v>
      </c>
      <c r="AD150" s="1" t="str">
        <f t="shared" si="40"/>
        <v>#REF!</v>
      </c>
      <c r="AE150" s="1" t="str">
        <f t="shared" si="40"/>
        <v>#REF!</v>
      </c>
      <c r="AF150" s="1" t="str">
        <f t="shared" si="40"/>
        <v>#REF!</v>
      </c>
      <c r="AG150" s="1" t="str">
        <f t="shared" si="40"/>
        <v>#REF!</v>
      </c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 t="str">
        <f>data!A4</f>
        <v>1</v>
      </c>
      <c r="N151" s="1" t="str">
        <f>data!B4</f>
        <v/>
      </c>
      <c r="O151" s="1"/>
      <c r="P151" s="1" t="str">
        <f>'Copy of data 1'!A4</f>
        <v>1</v>
      </c>
      <c r="Q151" s="1" t="str">
        <f>'Copy of data 1'!B4</f>
        <v/>
      </c>
      <c r="R151" s="1"/>
      <c r="S151" s="1" t="str">
        <f>'Copy of Copy of data'!A3</f>
        <v>0</v>
      </c>
      <c r="T151" s="255" t="str">
        <f>'Copy of Copy of data'!B3</f>
        <v/>
      </c>
      <c r="U151" s="1"/>
      <c r="V151" s="251" t="str">
        <f t="shared" ref="V151:Z151" si="41">'Copy of Copy of Copy of data'!A10</f>
        <v>#REF!</v>
      </c>
      <c r="W151" s="1" t="str">
        <f t="shared" si="41"/>
        <v>#REF!</v>
      </c>
      <c r="X151" s="1" t="str">
        <f t="shared" si="41"/>
        <v>#REF!</v>
      </c>
      <c r="Y151" s="1" t="str">
        <f t="shared" si="41"/>
        <v>#REF!</v>
      </c>
      <c r="Z151" s="1" t="str">
        <f t="shared" si="41"/>
        <v>#REF!</v>
      </c>
      <c r="AA151" s="1"/>
      <c r="AB151" s="1"/>
      <c r="AC151" s="251" t="str">
        <f t="shared" ref="AC151:AG151" si="42">'Copy of Copy of Copy of Copy of data'!A10</f>
        <v>#REF!</v>
      </c>
      <c r="AD151" s="1" t="str">
        <f t="shared" si="42"/>
        <v>#REF!</v>
      </c>
      <c r="AE151" s="1" t="str">
        <f t="shared" si="42"/>
        <v>#REF!</v>
      </c>
      <c r="AF151" s="1" t="str">
        <f t="shared" si="42"/>
        <v>#REF!</v>
      </c>
      <c r="AG151" s="1" t="str">
        <f t="shared" si="42"/>
        <v>#REF!</v>
      </c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 t="str">
        <f>data!A5</f>
        <v/>
      </c>
      <c r="N152" s="1">
        <f>data!B5</f>
        <v>0</v>
      </c>
      <c r="O152" s="1"/>
      <c r="P152" s="1" t="str">
        <f>'Copy of data 1'!A5</f>
        <v/>
      </c>
      <c r="Q152" s="1">
        <f>'Copy of data 1'!B5</f>
        <v>0</v>
      </c>
      <c r="R152" s="1"/>
      <c r="S152" s="1" t="str">
        <f>'Copy of Copy of data'!A4</f>
        <v/>
      </c>
      <c r="T152" s="1">
        <f>'Copy of Copy of data'!B4</f>
        <v>0</v>
      </c>
      <c r="U152" s="1"/>
      <c r="V152" s="1" t="str">
        <f t="shared" ref="V152:Z152" si="43">'Copy of Copy of Copy of data'!A11</f>
        <v>#REF!</v>
      </c>
      <c r="W152" s="1" t="str">
        <f t="shared" si="43"/>
        <v>#REF!</v>
      </c>
      <c r="X152" s="1" t="str">
        <f t="shared" si="43"/>
        <v>#REF!</v>
      </c>
      <c r="Y152" s="1" t="str">
        <f t="shared" si="43"/>
        <v>#REF!</v>
      </c>
      <c r="Z152" s="1" t="str">
        <f t="shared" si="43"/>
        <v>#REF!</v>
      </c>
      <c r="AA152" s="1"/>
      <c r="AB152" s="1"/>
      <c r="AC152" s="1" t="str">
        <f t="shared" ref="AC152:AG152" si="44">'Copy of Copy of Copy of Copy of data'!A11</f>
        <v>#REF!</v>
      </c>
      <c r="AD152" s="1" t="str">
        <f t="shared" si="44"/>
        <v>#REF!</v>
      </c>
      <c r="AE152" s="1" t="str">
        <f t="shared" si="44"/>
        <v>#REF!</v>
      </c>
      <c r="AF152" s="1" t="str">
        <f t="shared" si="44"/>
        <v>#REF!</v>
      </c>
      <c r="AG152" s="1" t="str">
        <f t="shared" si="44"/>
        <v>#REF!</v>
      </c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 t="str">
        <f>data!A6</f>
        <v/>
      </c>
      <c r="N153" s="1" t="str">
        <f>data!B6</f>
        <v/>
      </c>
      <c r="O153" s="1"/>
      <c r="P153" s="1" t="str">
        <f>'Copy of data 1'!A6</f>
        <v/>
      </c>
      <c r="Q153" s="1" t="str">
        <f>'Copy of data 1'!B6</f>
        <v/>
      </c>
      <c r="R153" s="1"/>
      <c r="S153" s="1" t="str">
        <f>'Copy of Copy of data'!A5</f>
        <v/>
      </c>
      <c r="T153" s="1" t="str">
        <f>'Copy of Copy of data'!B5</f>
        <v/>
      </c>
      <c r="U153" s="1"/>
      <c r="V153" s="1" t="str">
        <f t="shared" ref="V153:Z153" si="45">'Copy of Copy of Copy of data'!A12</f>
        <v>#REF!</v>
      </c>
      <c r="W153" s="1" t="str">
        <f t="shared" si="45"/>
        <v>#REF!</v>
      </c>
      <c r="X153" s="1" t="str">
        <f t="shared" si="45"/>
        <v>#REF!</v>
      </c>
      <c r="Y153" s="1" t="str">
        <f t="shared" si="45"/>
        <v>#REF!</v>
      </c>
      <c r="Z153" s="1" t="str">
        <f t="shared" si="45"/>
        <v>#REF!</v>
      </c>
      <c r="AA153" s="1"/>
      <c r="AB153" s="1"/>
      <c r="AC153" s="1" t="str">
        <f t="shared" ref="AC153:AG153" si="46">'Copy of Copy of Copy of Copy of data'!A12</f>
        <v>#REF!</v>
      </c>
      <c r="AD153" s="1" t="str">
        <f t="shared" si="46"/>
        <v>#REF!</v>
      </c>
      <c r="AE153" s="1" t="str">
        <f t="shared" si="46"/>
        <v>#REF!</v>
      </c>
      <c r="AF153" s="1" t="str">
        <f t="shared" si="46"/>
        <v>#REF!</v>
      </c>
      <c r="AG153" s="1" t="str">
        <f t="shared" si="46"/>
        <v>#REF!</v>
      </c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47" t="str">
        <f>data!A7</f>
        <v>0</v>
      </c>
      <c r="N154" s="1">
        <f>data!B7</f>
        <v>0</v>
      </c>
      <c r="O154" s="1"/>
      <c r="P154" s="137" t="str">
        <f>'Copy of data 1'!A7</f>
        <v>0</v>
      </c>
      <c r="Q154" s="1">
        <f>'Copy of data 1'!B7</f>
        <v>0</v>
      </c>
      <c r="R154" s="1"/>
      <c r="S154" s="255" t="str">
        <f>'Copy of Copy of data'!A6</f>
        <v>8</v>
      </c>
      <c r="T154" s="255" t="str">
        <f>'Copy of Copy of data'!B6</f>
        <v>3</v>
      </c>
      <c r="U154" s="1"/>
      <c r="V154" s="247" t="str">
        <f t="shared" ref="V154:Z154" si="47">'Copy of Copy of Copy of data'!A13</f>
        <v>#REF!</v>
      </c>
      <c r="W154" s="1" t="str">
        <f t="shared" si="47"/>
        <v>#REF!</v>
      </c>
      <c r="X154" s="1" t="str">
        <f t="shared" si="47"/>
        <v>#REF!</v>
      </c>
      <c r="Y154" s="1" t="str">
        <f t="shared" si="47"/>
        <v>#REF!</v>
      </c>
      <c r="Z154" s="1" t="str">
        <f t="shared" si="47"/>
        <v>#REF!</v>
      </c>
      <c r="AA154" s="1"/>
      <c r="AB154" s="1"/>
      <c r="AC154" s="247" t="str">
        <f t="shared" ref="AC154:AG154" si="48">'Copy of Copy of Copy of Copy of data'!A13</f>
        <v>#REF!</v>
      </c>
      <c r="AD154" s="1" t="str">
        <f t="shared" si="48"/>
        <v>#REF!</v>
      </c>
      <c r="AE154" s="1" t="str">
        <f t="shared" si="48"/>
        <v>#REF!</v>
      </c>
      <c r="AF154" s="1" t="str">
        <f t="shared" si="48"/>
        <v>#REF!</v>
      </c>
      <c r="AG154" s="1" t="str">
        <f t="shared" si="48"/>
        <v>#REF!</v>
      </c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 t="str">
        <f>data!A8</f>
        <v/>
      </c>
      <c r="N155" s="137">
        <f>data!B8</f>
        <v>1</v>
      </c>
      <c r="O155" s="1"/>
      <c r="P155" s="1" t="str">
        <f>'Copy of data 1'!A8</f>
        <v/>
      </c>
      <c r="Q155" s="1">
        <f>'Copy of data 1'!B8</f>
        <v>1</v>
      </c>
      <c r="R155" s="1"/>
      <c r="S155" s="1" t="str">
        <f>'Copy of Copy of data'!A7</f>
        <v/>
      </c>
      <c r="T155" s="1"/>
      <c r="U155" s="1"/>
      <c r="V155" s="251" t="str">
        <f t="shared" ref="V155:Z155" si="49">'Copy of Copy of Copy of data'!A14</f>
        <v>#REF!</v>
      </c>
      <c r="W155" s="1" t="str">
        <f t="shared" si="49"/>
        <v>#REF!</v>
      </c>
      <c r="X155" s="1" t="str">
        <f t="shared" si="49"/>
        <v>#REF!</v>
      </c>
      <c r="Y155" s="1" t="str">
        <f t="shared" si="49"/>
        <v>#REF!</v>
      </c>
      <c r="Z155" s="1" t="str">
        <f t="shared" si="49"/>
        <v>#REF!</v>
      </c>
      <c r="AA155" s="1"/>
      <c r="AB155" s="1"/>
      <c r="AC155" s="251" t="str">
        <f t="shared" ref="AC155:AG155" si="50">'Copy of Copy of Copy of Copy of data'!A14</f>
        <v>#REF!</v>
      </c>
      <c r="AD155" s="1" t="str">
        <f t="shared" si="50"/>
        <v>#REF!</v>
      </c>
      <c r="AE155" s="1" t="str">
        <f t="shared" si="50"/>
        <v>#REF!</v>
      </c>
      <c r="AF155" s="1" t="str">
        <f t="shared" si="50"/>
        <v>#REF!</v>
      </c>
      <c r="AG155" s="1" t="str">
        <f t="shared" si="50"/>
        <v>#REF!</v>
      </c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>
        <f>data!A9</f>
        <v>0</v>
      </c>
      <c r="N156" s="1" t="str">
        <f>data!B9</f>
        <v/>
      </c>
      <c r="O156" s="1"/>
      <c r="P156" s="1">
        <f>'Copy of data 1'!A9</f>
        <v>0</v>
      </c>
      <c r="Q156" s="247" t="str">
        <f>'Copy of data 1'!B9</f>
        <v/>
      </c>
      <c r="R156" s="1"/>
      <c r="S156" s="1" t="str">
        <f>'Copy of Copy of data'!B8</f>
        <v/>
      </c>
      <c r="T156" s="1" t="str">
        <f>'Copy of Copy of data'!B8</f>
        <v/>
      </c>
      <c r="U156" s="1"/>
      <c r="V156" s="1" t="str">
        <f t="shared" ref="V156:Z156" si="51">'Copy of Copy of Copy of data'!A15</f>
        <v>#REF!</v>
      </c>
      <c r="W156" s="1" t="str">
        <f t="shared" si="51"/>
        <v>#REF!</v>
      </c>
      <c r="X156" s="1" t="str">
        <f t="shared" si="51"/>
        <v>#REF!</v>
      </c>
      <c r="Y156" s="1" t="str">
        <f t="shared" si="51"/>
        <v>#REF!</v>
      </c>
      <c r="Z156" s="1" t="str">
        <f t="shared" si="51"/>
        <v>#REF!</v>
      </c>
      <c r="AA156" s="1"/>
      <c r="AB156" s="1"/>
      <c r="AC156" s="1" t="str">
        <f t="shared" ref="AC156:AG156" si="52">'Copy of Copy of Copy of Copy of data'!A15</f>
        <v>#REF!</v>
      </c>
      <c r="AD156" s="1" t="str">
        <f t="shared" si="52"/>
        <v>#REF!</v>
      </c>
      <c r="AE156" s="1" t="str">
        <f t="shared" si="52"/>
        <v>#REF!</v>
      </c>
      <c r="AF156" s="1" t="str">
        <f t="shared" si="52"/>
        <v>#REF!</v>
      </c>
      <c r="AG156" s="1" t="str">
        <f t="shared" si="52"/>
        <v>#REF!</v>
      </c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 t="str">
        <f t="shared" ref="V157:Z157" si="53">'Copy of Copy of Copy of data'!A16</f>
        <v>#REF!</v>
      </c>
      <c r="W157" s="1" t="str">
        <f t="shared" si="53"/>
        <v>#REF!</v>
      </c>
      <c r="X157" s="1" t="str">
        <f t="shared" si="53"/>
        <v>#REF!</v>
      </c>
      <c r="Y157" s="1" t="str">
        <f t="shared" si="53"/>
        <v>#REF!</v>
      </c>
      <c r="Z157" s="1" t="str">
        <f t="shared" si="53"/>
        <v>#REF!</v>
      </c>
      <c r="AA157" s="1"/>
      <c r="AB157" s="1"/>
      <c r="AC157" s="1" t="str">
        <f t="shared" ref="AC157:AG157" si="54">'Copy of Copy of Copy of Copy of data'!A16</f>
        <v>#REF!</v>
      </c>
      <c r="AD157" s="1" t="str">
        <f t="shared" si="54"/>
        <v>#REF!</v>
      </c>
      <c r="AE157" s="1" t="str">
        <f t="shared" si="54"/>
        <v>#REF!</v>
      </c>
      <c r="AF157" s="1" t="str">
        <f t="shared" si="54"/>
        <v>#REF!</v>
      </c>
      <c r="AG157" s="1" t="str">
        <f t="shared" si="54"/>
        <v>#REF!</v>
      </c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 t="str">
        <f t="shared" ref="V158:Z158" si="55">'Copy of Copy of Copy of data'!A17</f>
        <v>#REF!</v>
      </c>
      <c r="W158" s="1" t="str">
        <f t="shared" si="55"/>
        <v>#REF!</v>
      </c>
      <c r="X158" s="1" t="str">
        <f t="shared" si="55"/>
        <v>#REF!</v>
      </c>
      <c r="Y158" s="1" t="str">
        <f t="shared" si="55"/>
        <v>#REF!</v>
      </c>
      <c r="Z158" s="1" t="str">
        <f t="shared" si="55"/>
        <v>#REF!</v>
      </c>
      <c r="AA158" s="1"/>
      <c r="AB158" s="1"/>
      <c r="AC158" s="1" t="str">
        <f t="shared" ref="AC158:AG158" si="56">'Copy of Copy of Copy of Copy of data'!A17</f>
        <v>#REF!</v>
      </c>
      <c r="AD158" s="1" t="str">
        <f t="shared" si="56"/>
        <v>#REF!</v>
      </c>
      <c r="AE158" s="1" t="str">
        <f t="shared" si="56"/>
        <v>#REF!</v>
      </c>
      <c r="AF158" s="1" t="str">
        <f t="shared" si="56"/>
        <v>#REF!</v>
      </c>
      <c r="AG158" s="1" t="str">
        <f t="shared" si="56"/>
        <v>#REF!</v>
      </c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 t="str">
        <f>'Copy of data'!A3</f>
        <v>-</v>
      </c>
      <c r="Q159" s="256" t="str">
        <f>'Copy of data'!B3</f>
        <v>2</v>
      </c>
      <c r="S159" s="1" t="str">
        <f t="shared" ref="S159:T159" si="57">'Copy of Copy of Copy of data'!A3</f>
        <v>#REF!</v>
      </c>
      <c r="T159" s="1" t="str">
        <f t="shared" si="57"/>
        <v>#REF!</v>
      </c>
      <c r="U159" s="1"/>
      <c r="V159" s="247" t="str">
        <f t="shared" ref="V159:Z159" si="58">'Copy of Copy of Copy of data'!A18</f>
        <v>#REF!</v>
      </c>
      <c r="W159" s="1" t="str">
        <f t="shared" si="58"/>
        <v>#REF!</v>
      </c>
      <c r="X159" s="1" t="str">
        <f t="shared" si="58"/>
        <v>#REF!</v>
      </c>
      <c r="Y159" s="1" t="str">
        <f t="shared" si="58"/>
        <v>#REF!</v>
      </c>
      <c r="Z159" s="1" t="str">
        <f t="shared" si="58"/>
        <v>#REF!</v>
      </c>
      <c r="AA159" s="1"/>
      <c r="AB159" s="1"/>
      <c r="AC159" s="247" t="str">
        <f t="shared" ref="AC159:AG159" si="59">'Copy of Copy of Copy of Copy of data'!A18</f>
        <v>#REF!</v>
      </c>
      <c r="AD159" s="1" t="str">
        <f t="shared" si="59"/>
        <v>#REF!</v>
      </c>
      <c r="AE159" s="1" t="str">
        <f t="shared" si="59"/>
        <v>#REF!</v>
      </c>
      <c r="AF159" s="1" t="str">
        <f t="shared" si="59"/>
        <v>#REF!</v>
      </c>
      <c r="AG159" s="1" t="str">
        <f t="shared" si="59"/>
        <v>#REF!</v>
      </c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37" t="str">
        <f>'Copy of data'!A4</f>
        <v>6</v>
      </c>
      <c r="Q160" s="256">
        <f>'Copy of data'!B4</f>
        <v>0</v>
      </c>
      <c r="S160" s="1" t="str">
        <f t="shared" ref="S160:T160" si="60">'Copy of Copy of Copy of data'!A4</f>
        <v>#REF!</v>
      </c>
      <c r="T160" s="1" t="str">
        <f t="shared" si="60"/>
        <v>#REF!</v>
      </c>
      <c r="U160" s="1"/>
      <c r="V160" s="1" t="str">
        <f t="shared" ref="V160:Z160" si="61">'Copy of Copy of Copy of data'!A19</f>
        <v>#REF!</v>
      </c>
      <c r="W160" s="1" t="str">
        <f t="shared" si="61"/>
        <v>#REF!</v>
      </c>
      <c r="X160" s="1" t="str">
        <f t="shared" si="61"/>
        <v>#REF!</v>
      </c>
      <c r="Y160" s="1" t="str">
        <f t="shared" si="61"/>
        <v>#REF!</v>
      </c>
      <c r="Z160" s="1" t="str">
        <f t="shared" si="61"/>
        <v>#REF!</v>
      </c>
      <c r="AA160" s="1"/>
      <c r="AB160" s="1"/>
      <c r="AC160" s="1" t="str">
        <f t="shared" ref="AC160:AG160" si="62">'Copy of Copy of Copy of Copy of data'!A19</f>
        <v>#REF!</v>
      </c>
      <c r="AD160" s="1" t="str">
        <f t="shared" si="62"/>
        <v>#REF!</v>
      </c>
      <c r="AE160" s="1" t="str">
        <f t="shared" si="62"/>
        <v>#REF!</v>
      </c>
      <c r="AF160" s="1" t="str">
        <f t="shared" si="62"/>
        <v>#REF!</v>
      </c>
      <c r="AG160" s="1" t="str">
        <f t="shared" si="62"/>
        <v>#REF!</v>
      </c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37" t="str">
        <f>'Copy of data'!A5</f>
        <v/>
      </c>
      <c r="Q161" s="1" t="str">
        <f>'Copy of data'!B5</f>
        <v/>
      </c>
      <c r="S161" s="1" t="str">
        <f t="shared" ref="S161:T161" si="63">'Copy of Copy of Copy of data'!A5</f>
        <v>#REF!</v>
      </c>
      <c r="T161" s="1" t="str">
        <f t="shared" si="63"/>
        <v>#REF!</v>
      </c>
      <c r="U161" s="1"/>
      <c r="V161" s="1" t="str">
        <f t="shared" ref="V161:Z161" si="64">'Copy of Copy of Copy of data'!A20</f>
        <v>#REF!</v>
      </c>
      <c r="W161" s="1" t="str">
        <f t="shared" si="64"/>
        <v>#REF!</v>
      </c>
      <c r="X161" s="1" t="str">
        <f t="shared" si="64"/>
        <v>#REF!</v>
      </c>
      <c r="Y161" s="1" t="str">
        <f t="shared" si="64"/>
        <v>#REF!</v>
      </c>
      <c r="Z161" s="1" t="str">
        <f t="shared" si="64"/>
        <v>#REF!</v>
      </c>
      <c r="AA161" s="1"/>
      <c r="AB161" s="1"/>
      <c r="AC161" s="1" t="str">
        <f t="shared" ref="AC161:AG161" si="65">'Copy of Copy of Copy of Copy of data'!A20</f>
        <v>#REF!</v>
      </c>
      <c r="AD161" s="1" t="str">
        <f t="shared" si="65"/>
        <v>#REF!</v>
      </c>
      <c r="AE161" s="1" t="str">
        <f t="shared" si="65"/>
        <v>#REF!</v>
      </c>
      <c r="AF161" s="1" t="str">
        <f t="shared" si="65"/>
        <v>#REF!</v>
      </c>
      <c r="AG161" s="1" t="str">
        <f t="shared" si="65"/>
        <v>#REF!</v>
      </c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57" t="str">
        <f>'Copy of data'!A6</f>
        <v>3</v>
      </c>
      <c r="Q162" s="1" t="str">
        <f>'Copy of data'!B6</f>
        <v>8</v>
      </c>
      <c r="S162" s="1" t="str">
        <f t="shared" ref="S162:T162" si="66">'Copy of Copy of Copy of data'!A6</f>
        <v>#REF!</v>
      </c>
      <c r="T162" s="1" t="str">
        <f t="shared" si="66"/>
        <v>#REF!</v>
      </c>
      <c r="U162" s="1"/>
      <c r="V162" s="1" t="str">
        <f t="shared" ref="V162:Z162" si="67">'Copy of Copy of Copy of data'!A21</f>
        <v>#REF!</v>
      </c>
      <c r="W162" s="1" t="str">
        <f t="shared" si="67"/>
        <v>#REF!</v>
      </c>
      <c r="X162" s="1" t="str">
        <f t="shared" si="67"/>
        <v>#REF!</v>
      </c>
      <c r="Y162" s="1" t="str">
        <f t="shared" si="67"/>
        <v>#REF!</v>
      </c>
      <c r="Z162" s="1" t="str">
        <f t="shared" si="67"/>
        <v>#REF!</v>
      </c>
      <c r="AA162" s="1"/>
      <c r="AB162" s="1"/>
      <c r="AC162" s="1" t="str">
        <f t="shared" ref="AC162:AG162" si="68">'Copy of Copy of Copy of Copy of data'!A21</f>
        <v>#REF!</v>
      </c>
      <c r="AD162" s="1" t="str">
        <f t="shared" si="68"/>
        <v>#REF!</v>
      </c>
      <c r="AE162" s="1" t="str">
        <f t="shared" si="68"/>
        <v>#REF!</v>
      </c>
      <c r="AF162" s="1" t="str">
        <f t="shared" si="68"/>
        <v>#REF!</v>
      </c>
      <c r="AG162" s="1" t="str">
        <f t="shared" si="68"/>
        <v>#REF!</v>
      </c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S163" s="1" t="str">
        <f>'Copy of Copy of Copy of data'!A7</f>
        <v>#REF!</v>
      </c>
      <c r="T163" s="1"/>
      <c r="U163" s="1"/>
      <c r="V163" s="1" t="str">
        <f t="shared" ref="V163:Z163" si="69">'Copy of Copy of Copy of data'!A22</f>
        <v>#REF!</v>
      </c>
      <c r="W163" s="1" t="str">
        <f t="shared" si="69"/>
        <v>#REF!</v>
      </c>
      <c r="X163" s="1" t="str">
        <f t="shared" si="69"/>
        <v>#REF!</v>
      </c>
      <c r="Y163" s="1" t="str">
        <f t="shared" si="69"/>
        <v>#REF!</v>
      </c>
      <c r="Z163" s="1" t="str">
        <f t="shared" si="69"/>
        <v>#REF!</v>
      </c>
      <c r="AA163" s="1"/>
      <c r="AB163" s="1"/>
      <c r="AC163" s="1" t="str">
        <f t="shared" ref="AC163:AG163" si="70">'Copy of Copy of Copy of Copy of data'!A22</f>
        <v>#REF!</v>
      </c>
      <c r="AD163" s="1" t="str">
        <f t="shared" si="70"/>
        <v>#REF!</v>
      </c>
      <c r="AE163" s="1" t="str">
        <f t="shared" si="70"/>
        <v>#REF!</v>
      </c>
      <c r="AF163" s="1" t="str">
        <f t="shared" si="70"/>
        <v>#REF!</v>
      </c>
      <c r="AG163" s="1" t="str">
        <f t="shared" si="70"/>
        <v>#REF!</v>
      </c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S164" s="1"/>
      <c r="T164" s="1"/>
      <c r="U164" s="1"/>
      <c r="V164" s="247" t="str">
        <f t="shared" ref="V164:Z164" si="71">'Copy of Copy of Copy of data'!A23</f>
        <v>#REF!</v>
      </c>
      <c r="W164" s="1" t="str">
        <f t="shared" si="71"/>
        <v>#REF!</v>
      </c>
      <c r="X164" s="1" t="str">
        <f t="shared" si="71"/>
        <v>#REF!</v>
      </c>
      <c r="Y164" s="1" t="str">
        <f t="shared" si="71"/>
        <v>#REF!</v>
      </c>
      <c r="Z164" s="1" t="str">
        <f t="shared" si="71"/>
        <v>#REF!</v>
      </c>
      <c r="AA164" s="1"/>
      <c r="AB164" s="1"/>
      <c r="AC164" s="247" t="str">
        <f t="shared" ref="AC164:AG164" si="72">'Copy of Copy of Copy of Copy of data'!A23</f>
        <v>#REF!</v>
      </c>
      <c r="AD164" s="1" t="str">
        <f t="shared" si="72"/>
        <v>#REF!</v>
      </c>
      <c r="AE164" s="1" t="str">
        <f t="shared" si="72"/>
        <v>#REF!</v>
      </c>
      <c r="AF164" s="1" t="str">
        <f t="shared" si="72"/>
        <v>#REF!</v>
      </c>
      <c r="AG164" s="1" t="str">
        <f t="shared" si="72"/>
        <v>#REF!</v>
      </c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S165" s="258" t="str">
        <f t="shared" ref="S165:T165" si="73">'Copy of Copy of Copy of Copy of data'!A3</f>
        <v>#REF!</v>
      </c>
      <c r="T165" s="1" t="str">
        <f t="shared" si="73"/>
        <v>#REF!</v>
      </c>
      <c r="U165" s="1"/>
      <c r="V165" s="1" t="str">
        <f t="shared" ref="V165:Z165" si="74">'Copy of Copy of Copy of data'!A24</f>
        <v>#REF!</v>
      </c>
      <c r="W165" s="1" t="str">
        <f t="shared" si="74"/>
        <v>#REF!</v>
      </c>
      <c r="X165" s="1" t="str">
        <f t="shared" si="74"/>
        <v>#REF!</v>
      </c>
      <c r="Y165" s="1" t="str">
        <f t="shared" si="74"/>
        <v>#REF!</v>
      </c>
      <c r="Z165" s="1" t="str">
        <f t="shared" si="74"/>
        <v>#REF!</v>
      </c>
      <c r="AA165" s="1"/>
      <c r="AB165" s="1"/>
      <c r="AC165" s="1" t="str">
        <f t="shared" ref="AC165:AG165" si="75">'Copy of Copy of Copy of Copy of data'!A24</f>
        <v>#REF!</v>
      </c>
      <c r="AD165" s="1" t="str">
        <f t="shared" si="75"/>
        <v>#REF!</v>
      </c>
      <c r="AE165" s="1" t="str">
        <f t="shared" si="75"/>
        <v>#REF!</v>
      </c>
      <c r="AF165" s="1" t="str">
        <f t="shared" si="75"/>
        <v>#REF!</v>
      </c>
      <c r="AG165" s="1" t="str">
        <f t="shared" si="75"/>
        <v>#REF!</v>
      </c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S166" s="1" t="str">
        <f t="shared" ref="S166:T166" si="76">'Copy of Copy of Copy of Copy of data'!A4</f>
        <v>#REF!</v>
      </c>
      <c r="T166" s="1" t="str">
        <f t="shared" si="76"/>
        <v>#REF!</v>
      </c>
      <c r="U166" s="1"/>
      <c r="V166" s="1" t="str">
        <f t="shared" ref="V166:Z166" si="77">'Copy of Copy of Copy of data'!A25</f>
        <v>#REF!</v>
      </c>
      <c r="W166" s="1" t="str">
        <f t="shared" si="77"/>
        <v>#REF!</v>
      </c>
      <c r="X166" s="1" t="str">
        <f t="shared" si="77"/>
        <v>#REF!</v>
      </c>
      <c r="Y166" s="1" t="str">
        <f t="shared" si="77"/>
        <v>#REF!</v>
      </c>
      <c r="Z166" s="1" t="str">
        <f t="shared" si="77"/>
        <v>#REF!</v>
      </c>
      <c r="AA166" s="1"/>
      <c r="AB166" s="1"/>
      <c r="AC166" s="1" t="str">
        <f t="shared" ref="AC166:AG166" si="78">'Copy of Copy of Copy of Copy of data'!A25</f>
        <v>#REF!</v>
      </c>
      <c r="AD166" s="1" t="str">
        <f t="shared" si="78"/>
        <v>#REF!</v>
      </c>
      <c r="AE166" s="1" t="str">
        <f t="shared" si="78"/>
        <v>#REF!</v>
      </c>
      <c r="AF166" s="1" t="str">
        <f t="shared" si="78"/>
        <v>#REF!</v>
      </c>
      <c r="AG166" s="1" t="str">
        <f t="shared" si="78"/>
        <v>#REF!</v>
      </c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S167" s="1" t="str">
        <f t="shared" ref="S167:T167" si="79">'Copy of Copy of Copy of Copy of data'!A5</f>
        <v>#REF!</v>
      </c>
      <c r="T167" s="1" t="str">
        <f t="shared" si="79"/>
        <v>#REF!</v>
      </c>
      <c r="U167" s="1"/>
      <c r="V167" s="1" t="str">
        <f t="shared" ref="V167:Z167" si="80">'Copy of Copy of Copy of data'!A26</f>
        <v>#REF!</v>
      </c>
      <c r="W167" s="1" t="str">
        <f t="shared" si="80"/>
        <v>#REF!</v>
      </c>
      <c r="X167" s="1" t="str">
        <f t="shared" si="80"/>
        <v>#REF!</v>
      </c>
      <c r="Y167" s="1" t="str">
        <f t="shared" si="80"/>
        <v>#REF!</v>
      </c>
      <c r="Z167" s="1" t="str">
        <f t="shared" si="80"/>
        <v>#REF!</v>
      </c>
      <c r="AA167" s="1"/>
      <c r="AB167" s="1"/>
      <c r="AC167" s="1" t="str">
        <f t="shared" ref="AC167:AG167" si="81">'Copy of Copy of Copy of Copy of data'!A26</f>
        <v>#REF!</v>
      </c>
      <c r="AD167" s="1" t="str">
        <f t="shared" si="81"/>
        <v>#REF!</v>
      </c>
      <c r="AE167" s="1" t="str">
        <f t="shared" si="81"/>
        <v>#REF!</v>
      </c>
      <c r="AF167" s="1" t="str">
        <f t="shared" si="81"/>
        <v>#REF!</v>
      </c>
      <c r="AG167" s="1" t="str">
        <f t="shared" si="81"/>
        <v>#REF!</v>
      </c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S168" s="258" t="str">
        <f t="shared" ref="S168:T168" si="82">'Copy of Copy of Copy of Copy of data'!A6</f>
        <v>#REF!</v>
      </c>
      <c r="T168" s="1" t="str">
        <f t="shared" si="82"/>
        <v>#REF!</v>
      </c>
      <c r="U168" s="1"/>
      <c r="V168" s="1" t="str">
        <f t="shared" ref="V168:Z168" si="83">'Copy of Copy of Copy of data'!A27</f>
        <v>#REF!</v>
      </c>
      <c r="W168" s="1" t="str">
        <f t="shared" si="83"/>
        <v>#REF!</v>
      </c>
      <c r="X168" s="1" t="str">
        <f t="shared" si="83"/>
        <v>#REF!</v>
      </c>
      <c r="Y168" s="1" t="str">
        <f t="shared" si="83"/>
        <v>#REF!</v>
      </c>
      <c r="Z168" s="1" t="str">
        <f t="shared" si="83"/>
        <v>#REF!</v>
      </c>
      <c r="AA168" s="1"/>
      <c r="AB168" s="1"/>
      <c r="AC168" s="1" t="str">
        <f t="shared" ref="AC168:AG168" si="84">'Copy of Copy of Copy of Copy of data'!A27</f>
        <v>#REF!</v>
      </c>
      <c r="AD168" s="1" t="str">
        <f t="shared" si="84"/>
        <v>#REF!</v>
      </c>
      <c r="AE168" s="1" t="str">
        <f t="shared" si="84"/>
        <v>#REF!</v>
      </c>
      <c r="AF168" s="1" t="str">
        <f t="shared" si="84"/>
        <v>#REF!</v>
      </c>
      <c r="AG168" s="1" t="str">
        <f t="shared" si="84"/>
        <v>#REF!</v>
      </c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 t="str">
        <f t="shared" ref="V169:Z169" si="85">'Copy of Copy of Copy of data'!A28</f>
        <v>#REF!</v>
      </c>
      <c r="W169" s="1" t="str">
        <f t="shared" si="85"/>
        <v>#REF!</v>
      </c>
      <c r="X169" s="1" t="str">
        <f t="shared" si="85"/>
        <v>#REF!</v>
      </c>
      <c r="Y169" s="29" t="str">
        <f t="shared" si="85"/>
        <v>#REF!</v>
      </c>
      <c r="Z169" s="1" t="str">
        <f t="shared" si="85"/>
        <v>#REF!</v>
      </c>
      <c r="AA169" s="1"/>
      <c r="AB169" s="1"/>
      <c r="AC169" s="1" t="str">
        <f t="shared" ref="AC169:AG169" si="86">'Copy of Copy of Copy of Copy of data'!A28</f>
        <v>#REF!</v>
      </c>
      <c r="AD169" s="1" t="str">
        <f t="shared" si="86"/>
        <v>#REF!</v>
      </c>
      <c r="AE169" s="1" t="str">
        <f t="shared" si="86"/>
        <v>#REF!</v>
      </c>
      <c r="AF169" s="29" t="str">
        <f t="shared" si="86"/>
        <v>#REF!</v>
      </c>
      <c r="AG169" s="1" t="str">
        <f t="shared" si="86"/>
        <v>#REF!</v>
      </c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 t="str">
        <f t="shared" ref="V170:Z170" si="87">'Copy of Copy of Copy of data'!A29</f>
        <v>#REF!</v>
      </c>
      <c r="W170" s="1" t="str">
        <f t="shared" si="87"/>
        <v>#REF!</v>
      </c>
      <c r="X170" s="1" t="str">
        <f t="shared" si="87"/>
        <v>#REF!</v>
      </c>
      <c r="Y170" s="1" t="str">
        <f t="shared" si="87"/>
        <v>#REF!</v>
      </c>
      <c r="Z170" s="1" t="str">
        <f t="shared" si="87"/>
        <v>#REF!</v>
      </c>
      <c r="AA170" s="1"/>
      <c r="AB170" s="1"/>
      <c r="AC170" s="1" t="str">
        <f t="shared" ref="AC170:AG170" si="88">'Copy of Copy of Copy of Copy of data'!A29</f>
        <v>#REF!</v>
      </c>
      <c r="AD170" s="1" t="str">
        <f t="shared" si="88"/>
        <v>#REF!</v>
      </c>
      <c r="AE170" s="1" t="str">
        <f t="shared" si="88"/>
        <v>#REF!</v>
      </c>
      <c r="AF170" s="1" t="str">
        <f t="shared" si="88"/>
        <v>#REF!</v>
      </c>
      <c r="AG170" s="1" t="str">
        <f t="shared" si="88"/>
        <v>#REF!</v>
      </c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 t="str">
        <f t="shared" ref="V171:Z171" si="89">'Copy of Copy of Copy of data'!A30</f>
        <v>#REF!</v>
      </c>
      <c r="W171" s="1" t="str">
        <f t="shared" si="89"/>
        <v>#REF!</v>
      </c>
      <c r="X171" s="1" t="str">
        <f t="shared" si="89"/>
        <v>#REF!</v>
      </c>
      <c r="Y171" s="1" t="str">
        <f t="shared" si="89"/>
        <v>#REF!</v>
      </c>
      <c r="Z171" s="29" t="str">
        <f t="shared" si="89"/>
        <v>#REF!</v>
      </c>
      <c r="AA171" s="1"/>
      <c r="AB171" s="1"/>
      <c r="AC171" s="1" t="str">
        <f t="shared" ref="AC171:AG171" si="90">'Copy of Copy of Copy of Copy of data'!A30</f>
        <v>#REF!</v>
      </c>
      <c r="AD171" s="1" t="str">
        <f t="shared" si="90"/>
        <v>#REF!</v>
      </c>
      <c r="AE171" s="1" t="str">
        <f t="shared" si="90"/>
        <v>#REF!</v>
      </c>
      <c r="AF171" s="1" t="str">
        <f t="shared" si="90"/>
        <v>#REF!</v>
      </c>
      <c r="AG171" s="31" t="str">
        <f t="shared" si="90"/>
        <v>#REF!</v>
      </c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 t="str">
        <f t="shared" ref="V172:Z172" si="91">'Copy of Copy of Copy of data'!A31</f>
        <v>#REF!</v>
      </c>
      <c r="W172" s="1" t="str">
        <f t="shared" si="91"/>
        <v>#REF!</v>
      </c>
      <c r="X172" s="1" t="str">
        <f t="shared" si="91"/>
        <v>#REF!</v>
      </c>
      <c r="Y172" s="1" t="str">
        <f t="shared" si="91"/>
        <v>#REF!</v>
      </c>
      <c r="Z172" s="1" t="str">
        <f t="shared" si="91"/>
        <v>#REF!</v>
      </c>
      <c r="AA172" s="1"/>
      <c r="AB172" s="1"/>
      <c r="AC172" s="1" t="str">
        <f t="shared" ref="AC172:AG172" si="92">'Copy of Copy of Copy of Copy of data'!A31</f>
        <v>#REF!</v>
      </c>
      <c r="AD172" s="1" t="str">
        <f t="shared" si="92"/>
        <v>#REF!</v>
      </c>
      <c r="AE172" s="1" t="str">
        <f t="shared" si="92"/>
        <v>#REF!</v>
      </c>
      <c r="AF172" s="1" t="str">
        <f t="shared" si="92"/>
        <v>#REF!</v>
      </c>
      <c r="AG172" s="1" t="str">
        <f t="shared" si="92"/>
        <v>#REF!</v>
      </c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 t="str">
        <f t="shared" ref="V173:Z173" si="93">'Copy of Copy of Copy of data'!A32</f>
        <v>#REF!</v>
      </c>
      <c r="W173" s="1" t="str">
        <f t="shared" si="93"/>
        <v>#REF!</v>
      </c>
      <c r="X173" s="1" t="str">
        <f t="shared" si="93"/>
        <v>#REF!</v>
      </c>
      <c r="Y173" s="1" t="str">
        <f t="shared" si="93"/>
        <v>#REF!</v>
      </c>
      <c r="Z173" s="1" t="str">
        <f t="shared" si="93"/>
        <v>#REF!</v>
      </c>
      <c r="AA173" s="1"/>
      <c r="AB173" s="1"/>
      <c r="AC173" s="1" t="str">
        <f t="shared" ref="AC173:AG173" si="94">'Copy of Copy of Copy of Copy of data'!A32</f>
        <v>#REF!</v>
      </c>
      <c r="AD173" s="1" t="str">
        <f t="shared" si="94"/>
        <v>#REF!</v>
      </c>
      <c r="AE173" s="1" t="str">
        <f t="shared" si="94"/>
        <v>#REF!</v>
      </c>
      <c r="AF173" s="1" t="str">
        <f t="shared" si="94"/>
        <v>#REF!</v>
      </c>
      <c r="AG173" s="1" t="str">
        <f t="shared" si="94"/>
        <v>#REF!</v>
      </c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 t="str">
        <f t="shared" ref="V174:Z174" si="95">'Copy of Copy of Copy of data'!A33</f>
        <v>#REF!</v>
      </c>
      <c r="W174" s="1" t="str">
        <f t="shared" si="95"/>
        <v>#REF!</v>
      </c>
      <c r="X174" s="1" t="str">
        <f t="shared" si="95"/>
        <v>#REF!</v>
      </c>
      <c r="Y174" s="1" t="str">
        <f t="shared" si="95"/>
        <v>#REF!</v>
      </c>
      <c r="Z174" s="1" t="str">
        <f t="shared" si="95"/>
        <v>#REF!</v>
      </c>
      <c r="AA174" s="1"/>
      <c r="AB174" s="1"/>
      <c r="AC174" s="1" t="str">
        <f t="shared" ref="AC174:AF174" si="96">'Copy of Copy of Copy of Copy of data'!A33</f>
        <v>#REF!</v>
      </c>
      <c r="AD174" s="1" t="str">
        <f t="shared" si="96"/>
        <v>#REF!</v>
      </c>
      <c r="AE174" s="1" t="str">
        <f t="shared" si="96"/>
        <v>#REF!</v>
      </c>
      <c r="AF174" s="1" t="str">
        <f t="shared" si="96"/>
        <v>#REF!</v>
      </c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47" t="str">
        <f t="shared" ref="V175:Z175" si="97">'Copy of Copy of Copy of data'!A34</f>
        <v>#REF!</v>
      </c>
      <c r="W175" s="259" t="str">
        <f t="shared" si="97"/>
        <v>#REF!</v>
      </c>
      <c r="X175" s="1" t="str">
        <f t="shared" si="97"/>
        <v>#REF!</v>
      </c>
      <c r="Y175" s="1" t="str">
        <f t="shared" si="97"/>
        <v>#REF!</v>
      </c>
      <c r="Z175" s="1" t="str">
        <f t="shared" si="97"/>
        <v>#REF!</v>
      </c>
      <c r="AA175" s="1"/>
      <c r="AB175" s="1"/>
      <c r="AC175" s="247" t="str">
        <f t="shared" ref="AC175:AF175" si="98">'Copy of Copy of Copy of Copy of data'!A34</f>
        <v>#REF!</v>
      </c>
      <c r="AD175" s="259" t="str">
        <f t="shared" si="98"/>
        <v>#REF!</v>
      </c>
      <c r="AE175" s="1" t="str">
        <f t="shared" si="98"/>
        <v>#REF!</v>
      </c>
      <c r="AF175" s="1" t="str">
        <f t="shared" si="98"/>
        <v>#REF!</v>
      </c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47" t="str">
        <f t="shared" ref="V176:Z176" si="99">'Copy of Copy of Copy of data'!A35</f>
        <v>#REF!</v>
      </c>
      <c r="W176" s="259" t="str">
        <f t="shared" si="99"/>
        <v>#REF!</v>
      </c>
      <c r="X176" s="1" t="str">
        <f t="shared" si="99"/>
        <v>#REF!</v>
      </c>
      <c r="Y176" s="1" t="str">
        <f t="shared" si="99"/>
        <v>#REF!</v>
      </c>
      <c r="Z176" s="1" t="str">
        <f t="shared" si="99"/>
        <v>#REF!</v>
      </c>
      <c r="AA176" s="1"/>
      <c r="AB176" s="1"/>
      <c r="AC176" s="247" t="str">
        <f t="shared" ref="AC176:AF176" si="100">'Copy of Copy of Copy of Copy of data'!A35</f>
        <v>#REF!</v>
      </c>
      <c r="AD176" s="259" t="str">
        <f t="shared" si="100"/>
        <v>#REF!</v>
      </c>
      <c r="AE176" s="1" t="str">
        <f t="shared" si="100"/>
        <v>#REF!</v>
      </c>
      <c r="AF176" s="1" t="str">
        <f t="shared" si="100"/>
        <v>#REF!</v>
      </c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 t="str">
        <f t="shared" ref="V177:Z177" si="101">'Copy of Copy of Copy of data'!A36</f>
        <v>#REF!</v>
      </c>
      <c r="W177" s="1" t="str">
        <f t="shared" si="101"/>
        <v>#REF!</v>
      </c>
      <c r="X177" s="1" t="str">
        <f t="shared" si="101"/>
        <v>#REF!</v>
      </c>
      <c r="Y177" s="1" t="str">
        <f t="shared" si="101"/>
        <v>#REF!</v>
      </c>
      <c r="Z177" s="1" t="str">
        <f t="shared" si="101"/>
        <v>#REF!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 t="str">
        <f t="shared" ref="V178:Z178" si="102">'Copy of Copy of Copy of data'!A37</f>
        <v>#REF!</v>
      </c>
      <c r="W178" s="1" t="str">
        <f t="shared" si="102"/>
        <v>#REF!</v>
      </c>
      <c r="X178" s="1" t="str">
        <f t="shared" si="102"/>
        <v>#REF!</v>
      </c>
      <c r="Y178" s="1" t="str">
        <f t="shared" si="102"/>
        <v>#REF!</v>
      </c>
      <c r="Z178" s="1" t="str">
        <f t="shared" si="102"/>
        <v>#REF!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 t="str">
        <f t="shared" ref="V179:Z179" si="103">'Copy of Copy of Copy of data'!A38</f>
        <v>#REF!</v>
      </c>
      <c r="W179" s="1" t="str">
        <f t="shared" si="103"/>
        <v>#REF!</v>
      </c>
      <c r="X179" s="1" t="str">
        <f t="shared" si="103"/>
        <v>#REF!</v>
      </c>
      <c r="Y179" s="1" t="str">
        <f t="shared" si="103"/>
        <v>#REF!</v>
      </c>
      <c r="Z179" s="1" t="str">
        <f t="shared" si="103"/>
        <v>#REF!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 t="str">
        <f t="shared" ref="V180:Z180" si="104">'Copy of Copy of Copy of data'!A39</f>
        <v>#REF!</v>
      </c>
      <c r="W180" s="1" t="str">
        <f t="shared" si="104"/>
        <v>#REF!</v>
      </c>
      <c r="X180" s="1" t="str">
        <f t="shared" si="104"/>
        <v>#REF!</v>
      </c>
      <c r="Y180" s="1" t="str">
        <f t="shared" si="104"/>
        <v>#REF!</v>
      </c>
      <c r="Z180" s="1" t="str">
        <f t="shared" si="104"/>
        <v>#REF!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 t="s">
        <v>159</v>
      </c>
      <c r="Q182" s="1"/>
      <c r="R182" s="1" t="s">
        <v>64</v>
      </c>
      <c r="S182" s="1"/>
      <c r="T182" s="1" t="s">
        <v>160</v>
      </c>
      <c r="U182" s="1"/>
      <c r="V182" s="1" t="s">
        <v>38</v>
      </c>
      <c r="W182" s="1"/>
      <c r="Y182" s="223" t="s">
        <v>33</v>
      </c>
      <c r="Z182" s="1" t="s">
        <v>88</v>
      </c>
      <c r="AA182" s="223" t="s">
        <v>63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 t="str">
        <f>CONCATENATE(AG80,AG81)</f>
        <v>3-1</v>
      </c>
      <c r="S183" s="1"/>
      <c r="T183" s="1" t="str">
        <f>CONCATENATE(W175,AD175)</f>
        <v>#REF!</v>
      </c>
      <c r="U183" s="1" t="str">
        <f>AC169</f>
        <v>#REF!</v>
      </c>
      <c r="V183" s="1" t="str">
        <f>'Copy of Copy of Copy of Copy of data'!A16</f>
        <v>#REF!</v>
      </c>
      <c r="W183" s="1"/>
      <c r="Y183" s="1" t="str">
        <f>W175</f>
        <v>#REF!</v>
      </c>
      <c r="Z183" s="1" t="str">
        <f>AD175</f>
        <v>#REF!</v>
      </c>
      <c r="AA183" s="223" t="str">
        <f>'Copy of Copy of Copy of Copy of data 1'!D6</f>
        <v>#REF!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tr">
        <f>CONCATENATE(W170,W169)</f>
        <v>#REF!</v>
      </c>
      <c r="S184" s="1"/>
      <c r="T184" s="1" t="str">
        <f>AC151</f>
        <v>#REF!</v>
      </c>
      <c r="U184" s="1" t="str">
        <f>AC155</f>
        <v>#REF!</v>
      </c>
      <c r="V184" s="1"/>
      <c r="W184" s="1"/>
      <c r="X184" s="1"/>
      <c r="Y184" s="1" t="str">
        <f>AD176</f>
        <v>#REF!</v>
      </c>
      <c r="Z184" s="1"/>
      <c r="AA184" s="1" t="str">
        <f>'Copy of Copy of Copy of Copy of data 1'!C6</f>
        <v>#REF!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61" t="str">
        <f>CONCATENATE(AD170,AD169)</f>
        <v>#REF!</v>
      </c>
      <c r="S185" s="1"/>
      <c r="T185" s="1" t="str">
        <f>V155</f>
        <v>#REF!</v>
      </c>
      <c r="U185" s="61" t="str">
        <f>V151</f>
        <v>#REF!</v>
      </c>
      <c r="V185" s="1"/>
      <c r="W185" s="1"/>
      <c r="X185" s="1"/>
      <c r="Y185" s="1" t="str">
        <f>W176</f>
        <v>#REF!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tr">
        <f>CONCATENATE(E16,E15)</f>
        <v>-12</v>
      </c>
      <c r="S186" s="1"/>
      <c r="T186" s="1" t="str">
        <f>CONCATENATE(Q124,S124)</f>
        <v>01</v>
      </c>
      <c r="U186" s="1"/>
      <c r="V186" s="1"/>
      <c r="W186" s="1"/>
      <c r="X186" s="1"/>
      <c r="Y186" s="1" t="str">
        <f>AD175</f>
        <v>#REF!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W187" s="1"/>
      <c r="X187" s="1"/>
      <c r="Y187" s="1">
        <f>AF90</f>
        <v>0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 t="s">
        <v>161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42">
        <v>46281.0</v>
      </c>
      <c r="P191" s="1">
        <v>51.0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 t="str">
        <f>concatenate(Q126, S126)</f>
        <v>00</v>
      </c>
      <c r="Q192" s="1" t="s">
        <v>162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 t="str">
        <f>U185</f>
        <v>#REF!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12:U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9.67"/>
    <col customWidth="1" min="2" max="6" width="11.22"/>
    <col customWidth="1" min="8" max="8" width="13.44"/>
    <col customWidth="1" min="10" max="10" width="13.22"/>
    <col customWidth="1" min="11" max="11" width="13.56"/>
    <col customWidth="1" min="16" max="16" width="14.33"/>
  </cols>
  <sheetData>
    <row r="1">
      <c r="A1" s="2" t="s">
        <v>77</v>
      </c>
      <c r="D1" s="2">
        <v>6.0</v>
      </c>
      <c r="E1" s="2">
        <v>5.0</v>
      </c>
      <c r="F1" s="2">
        <v>2.0</v>
      </c>
      <c r="L1" s="2" t="s">
        <v>78</v>
      </c>
    </row>
    <row r="2">
      <c r="A2" s="2" t="s">
        <v>80</v>
      </c>
      <c r="H2" s="2" t="s">
        <v>81</v>
      </c>
      <c r="L2" s="2">
        <f>E3</f>
        <v>0</v>
      </c>
      <c r="M2" s="2">
        <f t="shared" ref="M2:M3" si="1">L2-1</f>
        <v>-1</v>
      </c>
      <c r="N2" s="56">
        <f t="shared" ref="N2:N3" si="2">L2+1</f>
        <v>1</v>
      </c>
      <c r="P2" s="2" t="s">
        <v>82</v>
      </c>
    </row>
    <row r="3">
      <c r="A3" s="2" t="s">
        <v>83</v>
      </c>
      <c r="B3" s="2">
        <v>76.0</v>
      </c>
      <c r="D3" s="2">
        <v>4.0</v>
      </c>
      <c r="E3" s="2">
        <v>0.0</v>
      </c>
      <c r="F3" s="2">
        <v>0.0</v>
      </c>
      <c r="H3" s="38">
        <v>8.0</v>
      </c>
      <c r="I3" s="38">
        <f>D1-E1</f>
        <v>1</v>
      </c>
      <c r="J3" s="38">
        <f>I3+F1</f>
        <v>3</v>
      </c>
      <c r="L3" s="2">
        <v>3.0</v>
      </c>
      <c r="M3" s="2">
        <f t="shared" si="1"/>
        <v>2</v>
      </c>
      <c r="N3" s="2">
        <f t="shared" si="2"/>
        <v>4</v>
      </c>
      <c r="P3" s="2" t="s">
        <v>84</v>
      </c>
    </row>
    <row r="4">
      <c r="A4" s="2" t="s">
        <v>85</v>
      </c>
      <c r="B4" s="2">
        <v>99.0</v>
      </c>
      <c r="H4" s="38"/>
      <c r="I4" s="38"/>
      <c r="J4" s="38"/>
      <c r="L4" s="2">
        <f>M2-1</f>
        <v>-2</v>
      </c>
      <c r="M4" s="2">
        <f>N2</f>
        <v>1</v>
      </c>
      <c r="N4" s="2">
        <f>L2</f>
        <v>0</v>
      </c>
    </row>
    <row r="5">
      <c r="C5" s="2">
        <f>B3*B4</f>
        <v>7524</v>
      </c>
      <c r="H5" s="38"/>
      <c r="I5" s="38"/>
      <c r="J5" s="38"/>
      <c r="L5" s="56">
        <f>N2</f>
        <v>1</v>
      </c>
      <c r="M5" s="56">
        <f>M2-1</f>
        <v>-2</v>
      </c>
      <c r="N5" s="56">
        <f>L2</f>
        <v>0</v>
      </c>
    </row>
    <row r="6">
      <c r="B6" s="2">
        <v>58.0</v>
      </c>
      <c r="H6" s="38">
        <v>0.0</v>
      </c>
      <c r="I6" s="38">
        <f>E3</f>
        <v>0</v>
      </c>
      <c r="J6" s="38">
        <f>I6+J3</f>
        <v>3</v>
      </c>
    </row>
    <row r="7">
      <c r="B7" s="2">
        <v>78.0</v>
      </c>
      <c r="H7" s="223" t="str">
        <f>left(D3,1)</f>
        <v>4</v>
      </c>
      <c r="I7" s="223"/>
      <c r="J7" s="223">
        <f>L2</f>
        <v>0</v>
      </c>
    </row>
    <row r="8">
      <c r="C8" s="2">
        <f>B6*B7</f>
        <v>4524</v>
      </c>
      <c r="H8" s="38">
        <f>F1+1</f>
        <v>3</v>
      </c>
      <c r="I8" s="38"/>
      <c r="J8" s="38" t="str">
        <f>right(F3,1)</f>
        <v>0</v>
      </c>
    </row>
    <row r="9">
      <c r="L9" s="2">
        <v>126.0</v>
      </c>
    </row>
    <row r="10">
      <c r="L10" s="2">
        <v>465.0</v>
      </c>
      <c r="O10" s="2" t="s">
        <v>55</v>
      </c>
      <c r="P10" s="2" t="s">
        <v>86</v>
      </c>
      <c r="Q10" s="2" t="s">
        <v>87</v>
      </c>
    </row>
    <row r="11">
      <c r="A11" s="224" t="s">
        <v>33</v>
      </c>
      <c r="B11" s="224" t="s">
        <v>88</v>
      </c>
      <c r="C11" s="224" t="s">
        <v>63</v>
      </c>
      <c r="H11" s="2">
        <f>sum(H6:J8)</f>
        <v>6</v>
      </c>
      <c r="I11" s="2">
        <f>AVERAGE(H6:J8)</f>
        <v>1.2</v>
      </c>
      <c r="K11" s="2" t="s">
        <v>89</v>
      </c>
      <c r="L11" s="2">
        <f>abs(L9-L10)</f>
        <v>339</v>
      </c>
      <c r="M11" s="2">
        <f>L11*2</f>
        <v>678</v>
      </c>
      <c r="O11" s="2">
        <f>int(SUM(L11:M11))</f>
        <v>1017</v>
      </c>
      <c r="P11" s="2">
        <f>int(AVERAGE(L11:M11))</f>
        <v>508</v>
      </c>
      <c r="Q11" s="2">
        <f>int(MAX(L11:M11))</f>
        <v>678</v>
      </c>
    </row>
    <row r="12">
      <c r="A12" s="38">
        <f>data!B7</f>
        <v>0</v>
      </c>
      <c r="B12" s="38">
        <f>data!B8</f>
        <v>1</v>
      </c>
      <c r="C12" s="38">
        <f>Victory!K37</f>
        <v>8</v>
      </c>
      <c r="D12" s="38"/>
      <c r="E12" s="2" t="s">
        <v>12</v>
      </c>
      <c r="G12" s="2" t="s">
        <v>12</v>
      </c>
      <c r="H12" s="2">
        <f>SUM(H11:I11)</f>
        <v>7.2</v>
      </c>
    </row>
    <row r="13">
      <c r="A13" s="38"/>
      <c r="B13" s="38"/>
      <c r="C13" s="38"/>
      <c r="D13" s="38"/>
      <c r="H13" s="2">
        <f>AVERAGE(H3:J8)</f>
        <v>2.25</v>
      </c>
      <c r="I13" s="2">
        <f>SUM(H3:J8)</f>
        <v>18</v>
      </c>
      <c r="L13" s="2">
        <f>int(sum(L9:L11)) </f>
        <v>930</v>
      </c>
      <c r="M13" s="2">
        <f>INT(AVERAGE(L9:L11))</f>
        <v>310</v>
      </c>
      <c r="N13" s="2">
        <f>int(MAX(L9:L11))</f>
        <v>465</v>
      </c>
      <c r="O13" s="2">
        <f>abs(M11-L9)</f>
        <v>552</v>
      </c>
      <c r="P13" s="2">
        <f>abs(O11-L10)</f>
        <v>552</v>
      </c>
    </row>
    <row r="14">
      <c r="A14" s="38" t="str">
        <f>data!D7</f>
        <v/>
      </c>
      <c r="B14" s="38" t="str">
        <f>data!A7</f>
        <v>0</v>
      </c>
      <c r="C14" s="38"/>
      <c r="D14" s="38"/>
      <c r="P14" s="2" t="s">
        <v>90</v>
      </c>
      <c r="Q14" s="2" t="s">
        <v>91</v>
      </c>
      <c r="R14" s="2" t="s">
        <v>92</v>
      </c>
    </row>
    <row r="15">
      <c r="A15" s="38"/>
      <c r="B15" s="38"/>
      <c r="C15" s="38"/>
      <c r="D15" s="38"/>
      <c r="E15" s="2">
        <v>75802.0</v>
      </c>
      <c r="G15" s="2" t="s">
        <v>93</v>
      </c>
      <c r="H15" s="2">
        <f>int(AVERAGE(Victory!P57:R58))</f>
        <v>0</v>
      </c>
      <c r="J15" s="2">
        <f>int(AVERAGE(Victory!X57:Z58))</f>
        <v>224347</v>
      </c>
      <c r="L15" s="2" t="str">
        <f>RIGHT(H15,3)</f>
        <v>0</v>
      </c>
      <c r="N15" s="209" t="str">
        <f>RIGHT(J15,3)</f>
        <v>347</v>
      </c>
      <c r="Q15" s="2" t="str">
        <f>left(Q11,1)</f>
        <v>6</v>
      </c>
      <c r="R15" s="2" t="str">
        <f>right(P11,1)</f>
        <v>8</v>
      </c>
    </row>
    <row r="16">
      <c r="A16" s="38" t="str">
        <f>data!A8</f>
        <v/>
      </c>
      <c r="B16" s="38" t="str">
        <f>data!D7</f>
        <v/>
      </c>
      <c r="C16" s="38"/>
      <c r="D16" s="38"/>
      <c r="E16" s="2">
        <v>320.0</v>
      </c>
      <c r="P16" s="2" t="str">
        <f>right(Q11,1)</f>
        <v>8</v>
      </c>
      <c r="R16" s="2" t="str">
        <f>LEFT(Q11,1)</f>
        <v>6</v>
      </c>
    </row>
    <row r="17">
      <c r="A17" s="38" t="str">
        <f>data!D7</f>
        <v/>
      </c>
      <c r="B17" s="38" t="str">
        <f>data!A8</f>
        <v/>
      </c>
      <c r="C17" s="38"/>
      <c r="D17" s="38" t="s">
        <v>94</v>
      </c>
      <c r="G17" s="2" t="s">
        <v>95</v>
      </c>
      <c r="H17" s="2">
        <f>int(SUM(Victory!P57:R58))</f>
        <v>0</v>
      </c>
      <c r="J17" s="2">
        <f>int(SUM(Victory!X57:Z58))</f>
        <v>897390</v>
      </c>
      <c r="L17" s="2" t="str">
        <f>RIGHT(H17,3)</f>
        <v>0</v>
      </c>
      <c r="N17" s="2" t="str">
        <f>RIGHT(J17,3)</f>
        <v>390</v>
      </c>
      <c r="R17" s="2" t="str">
        <f>mid(P11,2, 1)</f>
        <v>0</v>
      </c>
    </row>
    <row r="18">
      <c r="A18" s="38" t="str">
        <f>data!A7</f>
        <v>0</v>
      </c>
      <c r="B18" s="38" t="str">
        <f>data!A8</f>
        <v/>
      </c>
      <c r="C18" s="38"/>
      <c r="D18" s="38"/>
      <c r="Q18" s="2" t="str">
        <f>left(P13,1)</f>
        <v>5</v>
      </c>
    </row>
    <row r="19">
      <c r="A19" s="38">
        <f>data!A8+1</f>
        <v>1</v>
      </c>
      <c r="B19" s="38">
        <f>data!B8</f>
        <v>1</v>
      </c>
      <c r="C19" s="225" t="str">
        <f>RIGHT(data!E11,1)</f>
        <v>1</v>
      </c>
      <c r="D19" s="38"/>
      <c r="G19" s="2" t="s">
        <v>96</v>
      </c>
      <c r="H19" s="2">
        <f>int(SUM(H15:H17))</f>
        <v>0</v>
      </c>
      <c r="J19" s="2">
        <f>int(MAX(Victory!X57:Z58))</f>
        <v>395460</v>
      </c>
      <c r="L19" s="2" t="str">
        <f>RIGHT(H19,3)</f>
        <v>0</v>
      </c>
      <c r="N19" s="2" t="str">
        <f>RIGHT(J19,3)</f>
        <v>460</v>
      </c>
      <c r="P19" s="2" t="str">
        <f>right(L10,1)</f>
        <v>5</v>
      </c>
      <c r="Q19" s="2" t="str">
        <f>left(O13,1)</f>
        <v>5</v>
      </c>
    </row>
    <row r="20">
      <c r="A20" s="38"/>
      <c r="B20" s="38"/>
      <c r="C20" s="140">
        <f>data!C6</f>
        <v>0</v>
      </c>
      <c r="P20" s="2" t="str">
        <f>mid(P13, 3,1)</f>
        <v>2</v>
      </c>
      <c r="Q20" s="2" t="str">
        <f>right(L13,1)</f>
        <v>0</v>
      </c>
    </row>
    <row r="21" ht="15.75" customHeight="1">
      <c r="A21" s="38"/>
      <c r="B21" s="225">
        <f>data!G18</f>
        <v>1</v>
      </c>
      <c r="C21" s="38">
        <f>Victory!F41</f>
        <v>42</v>
      </c>
      <c r="Q21" s="2" t="str">
        <f>mid(M13,2, 1)</f>
        <v>1</v>
      </c>
    </row>
    <row r="22" ht="15.75" customHeight="1">
      <c r="A22" s="38"/>
      <c r="B22" s="38"/>
      <c r="C22" s="38">
        <f>data!H6</f>
        <v>-3</v>
      </c>
      <c r="L22" s="2" t="s">
        <v>64</v>
      </c>
      <c r="P22" s="2" t="str">
        <f>LEFT(L9,1)</f>
        <v>1</v>
      </c>
    </row>
    <row r="23" ht="15.75" customHeight="1">
      <c r="A23" s="38"/>
      <c r="B23" s="38"/>
      <c r="C23" s="38" t="str">
        <f>RIGHT(data!E11,2)</f>
        <v>-1</v>
      </c>
      <c r="D23" s="57" t="s">
        <v>33</v>
      </c>
      <c r="G23" s="57"/>
      <c r="H23" s="11"/>
      <c r="J23" s="11" t="s">
        <v>98</v>
      </c>
      <c r="L23" s="2" t="str">
        <f>RIGHT(L15,2)</f>
        <v>0</v>
      </c>
      <c r="N23" s="2" t="str">
        <f>RIGHT(N15,2)</f>
        <v>47</v>
      </c>
    </row>
    <row r="24" ht="15.75" customHeight="1">
      <c r="A24" s="38" t="str">
        <f>LEFT(data!E11,1)</f>
        <v>-</v>
      </c>
      <c r="B24" s="38" t="str">
        <f>RIGHT(data!E11,1)</f>
        <v>1</v>
      </c>
      <c r="C24" s="38"/>
      <c r="D24" s="120">
        <v>7.0</v>
      </c>
      <c r="E24" s="120">
        <v>8.0</v>
      </c>
      <c r="F24" s="120">
        <v>9.0</v>
      </c>
      <c r="G24" s="120">
        <v>8.0</v>
      </c>
      <c r="H24" s="120">
        <v>0.0</v>
      </c>
      <c r="I24" s="120">
        <v>1.0</v>
      </c>
      <c r="J24" s="11" t="s">
        <v>99</v>
      </c>
    </row>
    <row r="25" ht="15.75" customHeight="1">
      <c r="A25" s="38" t="str">
        <f>RIGHT(data!E11,3)</f>
        <v>1-1</v>
      </c>
      <c r="B25" s="38"/>
      <c r="C25" s="38"/>
      <c r="D25" s="120"/>
      <c r="G25" s="120"/>
      <c r="H25" s="120"/>
      <c r="I25" s="120"/>
      <c r="J25" s="11" t="s">
        <v>100</v>
      </c>
      <c r="L25" s="226" t="str">
        <f>RIGHT(L17,2)</f>
        <v>0</v>
      </c>
      <c r="N25" s="2" t="str">
        <f>RIGHT(N17,2)</f>
        <v>90</v>
      </c>
    </row>
    <row r="26" ht="15.75" customHeight="1">
      <c r="A26" s="38">
        <f>data!F34</f>
        <v>-2</v>
      </c>
      <c r="B26" s="38">
        <f>data!G34</f>
        <v>-2</v>
      </c>
      <c r="C26" s="38"/>
      <c r="D26" s="120"/>
      <c r="G26" s="120"/>
      <c r="H26" s="120"/>
      <c r="I26" s="120"/>
      <c r="J26" s="11" t="s">
        <v>101</v>
      </c>
      <c r="L26" s="2" t="str">
        <f>right(L19,2)</f>
        <v>0</v>
      </c>
    </row>
    <row r="27" ht="15.75" customHeight="1">
      <c r="D27" s="120"/>
      <c r="G27" s="120"/>
      <c r="H27" s="120"/>
      <c r="I27" s="120"/>
      <c r="J27" s="11"/>
      <c r="N27" s="2" t="str">
        <f>RIGHT(N19,2)</f>
        <v>60</v>
      </c>
    </row>
    <row r="28" ht="15.75" customHeight="1">
      <c r="A28" s="2" t="str">
        <f>CONCATENATE(" result from ",data!A22, "  AND " ,A25)</f>
        <v> result from 9  AND 1-1</v>
      </c>
      <c r="D28" s="57"/>
      <c r="G28" s="120"/>
      <c r="H28" s="120"/>
      <c r="I28" s="120"/>
      <c r="J28" s="11"/>
    </row>
    <row r="29" ht="15.75" customHeight="1">
      <c r="B29" s="11" t="s">
        <v>64</v>
      </c>
      <c r="C29" s="224">
        <f>Victory!S118</f>
        <v>1</v>
      </c>
      <c r="D29" s="57" t="str">
        <f>CONCATENATE(Victory!M34,Victory!M35)</f>
        <v>-1-1</v>
      </c>
      <c r="E29" s="2" t="str">
        <f>CONCAT(Victory!L42,Victory!M42)</f>
        <v>62</v>
      </c>
      <c r="F29" s="120" t="str">
        <f>RIGHT(Victory!K43,2)</f>
        <v>68</v>
      </c>
      <c r="G29" s="120" t="str">
        <f>CONCAT(RIGHT(data!D6,1),LEFT(data!D6,1))</f>
        <v>11</v>
      </c>
      <c r="H29" s="120"/>
      <c r="I29" s="120"/>
      <c r="J29" s="11"/>
    </row>
    <row r="30" ht="15.75" customHeight="1">
      <c r="C30" s="38"/>
      <c r="D30" s="11"/>
      <c r="F30" s="120"/>
      <c r="H30" s="120"/>
      <c r="I30" s="11"/>
    </row>
    <row r="31" ht="15.75" customHeight="1">
      <c r="B31" s="11" t="s">
        <v>38</v>
      </c>
      <c r="C31" s="224" t="str">
        <f>RIGHT(A25,2)</f>
        <v>-1</v>
      </c>
      <c r="D31" s="11" t="str">
        <f>CONCATENATE('Copy of data'!F32:G32)</f>
        <v>34</v>
      </c>
      <c r="E31" s="2" t="str">
        <f>CONCATENATE(data!D13,data!D12)</f>
        <v>-11</v>
      </c>
      <c r="F31" s="226" t="str">
        <f>CONCAT(RIGHT(D31,1),LEFT(D31,1))</f>
        <v>43</v>
      </c>
      <c r="G31" s="2" t="str">
        <f>CONCAT(Victory!S119,Victory!S118)</f>
        <v>1.333333333333331</v>
      </c>
    </row>
    <row r="32" ht="15.75" customHeight="1"/>
    <row r="33" ht="15.75" customHeight="1">
      <c r="B33" s="2" t="s">
        <v>26</v>
      </c>
      <c r="C33" s="38" t="str">
        <f>CONCATENATE(A24,B24)</f>
        <v>-1</v>
      </c>
      <c r="D33" s="2" t="str">
        <f>CONCATENATE(data!D13,data!D12)</f>
        <v>-11</v>
      </c>
      <c r="E33" s="2">
        <f>data!D6</f>
        <v>1</v>
      </c>
    </row>
    <row r="34" ht="15.75" customHeight="1">
      <c r="F34" s="120"/>
    </row>
    <row r="35" ht="15.75" customHeight="1">
      <c r="C35" s="192"/>
    </row>
    <row r="36" ht="15.75" customHeight="1">
      <c r="B36" s="11" t="str">
        <f>'Copy of Copy of data'!A9</f>
        <v>AB/AC</v>
      </c>
      <c r="C36" s="11" t="str">
        <f>'Copy of Copy of data'!B9</f>
        <v>Result</v>
      </c>
    </row>
    <row r="37" ht="15.75" customHeight="1">
      <c r="B37" s="11" t="str">
        <f>'Copy of Copy of data'!A10</f>
        <v>60</v>
      </c>
      <c r="C37" s="224" t="str">
        <f>'Copy of Copy of data'!B10</f>
        <v>880</v>
      </c>
    </row>
    <row r="38" ht="15.75" customHeight="1">
      <c r="B38" s="11" t="str">
        <f>'Copy of Copy of data'!A11</f>
        <v>0</v>
      </c>
      <c r="C38" s="224">
        <f>'Copy of Copy of data'!B11</f>
        <v>83</v>
      </c>
      <c r="M38" s="2">
        <f t="shared" ref="M38:M39" si="3">K38+1</f>
        <v>1</v>
      </c>
    </row>
    <row r="39" ht="15.75" customHeight="1">
      <c r="B39" s="11" t="str">
        <f>'Copy of Copy of data'!A12</f>
        <v/>
      </c>
      <c r="C39" s="224" t="str">
        <f>CONCATENATE(LEFT(C38,1)+1,MID(C38,2,1),MID(C38,2,1)-RIGHT(C38,1))</f>
        <v>930</v>
      </c>
      <c r="G39" s="38"/>
      <c r="H39" s="38"/>
      <c r="I39" s="38"/>
      <c r="M39" s="2">
        <f t="shared" si="3"/>
        <v>1</v>
      </c>
    </row>
    <row r="40" ht="15.75" customHeight="1">
      <c r="B40" s="11" t="str">
        <f>'Copy of Copy of data'!A13</f>
        <v>BC/AB/AC</v>
      </c>
      <c r="C40" s="11" t="str">
        <f>'Copy of Copy of data'!B13</f>
        <v/>
      </c>
      <c r="G40" s="38"/>
      <c r="H40" s="38"/>
      <c r="I40" s="38"/>
    </row>
    <row r="41" ht="15.75" customHeight="1">
      <c r="B41" s="11" t="str">
        <f>'Copy of Copy of data'!A14</f>
        <v>00</v>
      </c>
      <c r="C41" s="11" t="str">
        <f>'Copy of Copy of data'!B14</f>
        <v/>
      </c>
      <c r="G41" s="38"/>
      <c r="H41" s="38"/>
      <c r="I41" s="38"/>
    </row>
    <row r="42" ht="15.75" customHeight="1">
      <c r="B42" s="11" t="str">
        <f>'Copy of Copy of data'!A15</f>
        <v>80</v>
      </c>
      <c r="C42" s="11" t="str">
        <f>'Copy of Copy of data'!B15</f>
        <v/>
      </c>
      <c r="D42" s="2" t="s">
        <v>12</v>
      </c>
      <c r="G42" s="38"/>
      <c r="H42" s="38"/>
      <c r="I42" s="38"/>
    </row>
    <row r="43" ht="15.75" customHeight="1">
      <c r="B43" s="57">
        <f>'Copy of Copy of data'!A16</f>
        <v>1</v>
      </c>
      <c r="C43" s="11" t="str">
        <f>data!C18</f>
        <v/>
      </c>
      <c r="G43" s="223"/>
      <c r="H43" s="223"/>
      <c r="I43" s="223"/>
    </row>
    <row r="44" ht="15.75" customHeight="1">
      <c r="G44" s="38"/>
      <c r="H44" s="38"/>
      <c r="I44" s="228"/>
    </row>
    <row r="45" ht="15.75" customHeight="1"/>
    <row r="46" ht="15.75" customHeight="1">
      <c r="N46" s="2" t="s">
        <v>55</v>
      </c>
      <c r="O46" s="2" t="s">
        <v>86</v>
      </c>
      <c r="P46" s="2" t="s">
        <v>87</v>
      </c>
    </row>
    <row r="47" ht="15.75" customHeight="1">
      <c r="N47" s="2">
        <f>int(SUM(K47:L47))</f>
        <v>0</v>
      </c>
      <c r="O47" s="2" t="str">
        <f>int(AVERAGE(K47:L47))</f>
        <v>#DIV/0!</v>
      </c>
      <c r="P47" s="2">
        <f>int(MAX(K47:L47))</f>
        <v>0</v>
      </c>
    </row>
    <row r="48" ht="15.75" customHeight="1">
      <c r="C48" s="38"/>
    </row>
    <row r="49" ht="15.75" customHeight="1">
      <c r="C49" s="38"/>
      <c r="M49" s="2">
        <f>int(MAX(K45:K47))</f>
        <v>0</v>
      </c>
      <c r="N49" s="2">
        <f>abs(L47-K45)</f>
        <v>0</v>
      </c>
      <c r="O49" s="2">
        <f>abs(N47-K46)</f>
        <v>0</v>
      </c>
    </row>
    <row r="50" ht="15.75" customHeight="1">
      <c r="O50" s="2" t="s">
        <v>90</v>
      </c>
      <c r="P50" s="2" t="s">
        <v>91</v>
      </c>
      <c r="Q50" s="2" t="s">
        <v>92</v>
      </c>
    </row>
    <row r="51" ht="15.75" customHeight="1">
      <c r="P51" s="2" t="str">
        <f>left(P47,1)</f>
        <v>0</v>
      </c>
      <c r="Q51" s="2" t="str">
        <f>right(O47,1)</f>
        <v>#DIV/0!</v>
      </c>
    </row>
    <row r="52" ht="15.75" customHeight="1">
      <c r="O52" s="2" t="str">
        <f>right(P47,1)</f>
        <v>0</v>
      </c>
      <c r="Q52" s="2" t="str">
        <f>LEFT(P47,1)</f>
        <v>0</v>
      </c>
    </row>
    <row r="53" ht="15.75" customHeight="1">
      <c r="Q53" s="2" t="str">
        <f>mid(O47,2, 1)</f>
        <v>#DIV/0!</v>
      </c>
    </row>
    <row r="54" ht="15.75" customHeight="1">
      <c r="P54" s="2" t="str">
        <f>left(O49,1)</f>
        <v>0</v>
      </c>
    </row>
    <row r="55" ht="15.75" customHeight="1">
      <c r="O55" s="2" t="str">
        <f>right(K46,1)</f>
        <v/>
      </c>
      <c r="P55" s="2" t="str">
        <f>left(N49,1)</f>
        <v>0</v>
      </c>
    </row>
    <row r="56" ht="15.75" customHeight="1">
      <c r="O56" s="2" t="str">
        <f>mid(O49, 3,1)</f>
        <v/>
      </c>
      <c r="P56" s="2" t="str">
        <f>right(K49,1)</f>
        <v/>
      </c>
    </row>
    <row r="57" ht="15.75" customHeight="1">
      <c r="P57" s="2" t="str">
        <f>mid(L49,2, 1)</f>
        <v/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  <col customWidth="1" min="10" max="10" width="8.67"/>
    <col customWidth="1" min="11" max="11" width="6.0"/>
    <col customWidth="1" min="12" max="12" width="7.0"/>
    <col customWidth="1" min="14" max="14" width="9.56"/>
    <col customWidth="1" min="15" max="15" width="3.33"/>
    <col customWidth="1" min="16" max="16" width="5.11"/>
    <col customWidth="1" min="17" max="17" width="6.33"/>
    <col customWidth="1" min="20" max="20" width="9.89"/>
  </cols>
  <sheetData>
    <row r="1"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N1" s="2" t="s">
        <v>112</v>
      </c>
      <c r="O1" s="2" t="s">
        <v>33</v>
      </c>
      <c r="P1" s="2" t="s">
        <v>88</v>
      </c>
      <c r="Q1" s="2" t="s">
        <v>63</v>
      </c>
      <c r="R1" s="2" t="s">
        <v>11</v>
      </c>
    </row>
    <row r="2">
      <c r="K2" s="2">
        <v>14.0</v>
      </c>
      <c r="L2" s="2">
        <v>1.0</v>
      </c>
      <c r="M2" s="2">
        <v>15.0</v>
      </c>
      <c r="N2" s="2" t="str">
        <f>CONCATENATE(Victory!AF90:AF92)</f>
        <v>01-1</v>
      </c>
      <c r="O2" s="2" t="str">
        <f>LEFT(K2,1)</f>
        <v>1</v>
      </c>
      <c r="P2" s="2" t="str">
        <f>MID(Victory!Y104,3,1)</f>
        <v>9</v>
      </c>
      <c r="Q2" s="2" t="str">
        <f>MID(Victory!Y104,3,1)</f>
        <v>9</v>
      </c>
      <c r="R2" s="2">
        <v>100.0</v>
      </c>
      <c r="S2" s="232">
        <v>0.5416666666666666</v>
      </c>
    </row>
    <row r="3">
      <c r="A3" s="2" t="s">
        <v>113</v>
      </c>
      <c r="G3" s="2">
        <v>13.0</v>
      </c>
      <c r="J3" s="2" t="str">
        <f>CONCAT(A3,F1)</f>
        <v>OddThu</v>
      </c>
      <c r="K3" s="2">
        <v>7.0</v>
      </c>
      <c r="L3" s="2">
        <v>6.0</v>
      </c>
      <c r="M3" s="2">
        <v>1.0</v>
      </c>
      <c r="N3" s="2" t="str">
        <f>CONCATENATE(Victory!AG90:AG91)</f>
        <v>4-1</v>
      </c>
      <c r="O3" s="2" t="str">
        <f>MID(Victory!V104,2,1)</f>
        <v>0</v>
      </c>
      <c r="P3" s="2" t="str">
        <f>MID(Victory!V104,4,1)</f>
        <v>8</v>
      </c>
      <c r="Q3" s="2" t="str">
        <f>MID(Victory!W105,3,1)</f>
        <v>8</v>
      </c>
    </row>
    <row r="4">
      <c r="A4" s="2" t="s">
        <v>114</v>
      </c>
      <c r="G4" s="2">
        <v>31.0</v>
      </c>
      <c r="K4" s="2">
        <v>0.0</v>
      </c>
      <c r="L4" s="2">
        <v>4.0</v>
      </c>
      <c r="M4" s="2">
        <v>16.0</v>
      </c>
      <c r="N4" s="2" t="str">
        <f>CONCATENATE(Victory!AG77:AG78)</f>
        <v>1080</v>
      </c>
      <c r="O4" s="2" t="str">
        <f>LEFT(Victory!T101,1)</f>
        <v>2</v>
      </c>
      <c r="P4" s="2">
        <f>Victory!S118</f>
        <v>1</v>
      </c>
    </row>
    <row r="5">
      <c r="K5" s="2">
        <v>0.0</v>
      </c>
      <c r="L5" s="2">
        <v>8.0</v>
      </c>
      <c r="M5" s="2">
        <v>2.0</v>
      </c>
      <c r="O5" s="2" t="str">
        <f>data!A7</f>
        <v>0</v>
      </c>
      <c r="P5" s="2">
        <f>data!A9+1</f>
        <v>1</v>
      </c>
      <c r="Q5" s="2">
        <f>M5</f>
        <v>2</v>
      </c>
    </row>
    <row r="12">
      <c r="S12" s="120"/>
      <c r="T12" s="120"/>
    </row>
    <row r="13">
      <c r="S13" s="120"/>
      <c r="T13" s="120"/>
    </row>
    <row r="14">
      <c r="S14" s="120"/>
      <c r="T14" s="120"/>
    </row>
    <row r="15">
      <c r="S15" s="120"/>
      <c r="T15" s="120"/>
    </row>
    <row r="16">
      <c r="S16" s="120"/>
      <c r="T16" s="120"/>
    </row>
    <row r="17">
      <c r="S17" s="120"/>
      <c r="T17" s="120"/>
    </row>
    <row r="18">
      <c r="S18" s="120"/>
      <c r="T18" s="120"/>
    </row>
    <row r="21" ht="15.75" customHeight="1"/>
    <row r="22" ht="15.75" customHeight="1"/>
    <row r="23" ht="15.75" customHeight="1">
      <c r="S23" s="120"/>
    </row>
    <row r="24" ht="15.75" customHeight="1"/>
    <row r="25" ht="15.75" customHeight="1"/>
    <row r="26" ht="15.75" customHeight="1">
      <c r="S26" s="11"/>
    </row>
    <row r="27" ht="15.75" customHeight="1"/>
    <row r="28" ht="15.75" customHeight="1"/>
    <row r="29" ht="15.75" customHeight="1">
      <c r="R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